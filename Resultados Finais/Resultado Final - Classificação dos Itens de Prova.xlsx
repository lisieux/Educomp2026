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1a040bb1f01841a5/Desktop/Educomp 2026/Análises/"/>
    </mc:Choice>
  </mc:AlternateContent>
  <xr:revisionPtr revIDLastSave="98" documentId="13_ncr:1_{118FECC6-9110-4EF4-8094-660D44575BF0}" xr6:coauthVersionLast="47" xr6:coauthVersionMax="47" xr10:uidLastSave="{A8C62184-5F99-44A9-BFF8-41BCCCBF6DAC}"/>
  <bookViews>
    <workbookView xWindow="29388" yWindow="-81" windowWidth="29698" windowHeight="16094" tabRatio="875" firstSheet="2" activeTab="2" xr2:uid="{A3D81B84-84E8-4574-A2BD-4114E0857E83}"/>
  </bookViews>
  <sheets>
    <sheet name="Quadro Geral" sheetId="27" r:id="rId1"/>
    <sheet name="Elementos Visuais" sheetId="28" r:id="rId2"/>
    <sheet name="2008" sheetId="1" r:id="rId3"/>
    <sheet name="2009" sheetId="2" r:id="rId4"/>
    <sheet name="2010" sheetId="3" r:id="rId5"/>
    <sheet name="2011" sheetId="4" r:id="rId6"/>
    <sheet name="2012" sheetId="5" r:id="rId7"/>
    <sheet name="2013" sheetId="6" r:id="rId8"/>
    <sheet name="2014" sheetId="7" r:id="rId9"/>
    <sheet name="2015" sheetId="8" r:id="rId10"/>
    <sheet name="2016" sheetId="9" r:id="rId11"/>
    <sheet name="2017" sheetId="10" r:id="rId12"/>
    <sheet name="2018 N1" sheetId="11" r:id="rId13"/>
    <sheet name="2018 N J" sheetId="12" r:id="rId14"/>
    <sheet name="2019 N1" sheetId="13" r:id="rId15"/>
    <sheet name="2019 N J" sheetId="14" r:id="rId16"/>
    <sheet name="2020 N1 A" sheetId="15" r:id="rId17"/>
    <sheet name="2020 N1 B" sheetId="16" r:id="rId18"/>
    <sheet name="2020 J A" sheetId="17" r:id="rId19"/>
    <sheet name="2020 J B" sheetId="18" r:id="rId20"/>
    <sheet name="2021 N1" sheetId="19" r:id="rId21"/>
    <sheet name="2021 NJ" sheetId="20" r:id="rId22"/>
    <sheet name="2022 N 1" sheetId="21" r:id="rId23"/>
    <sheet name="2022 N J" sheetId="22" r:id="rId24"/>
    <sheet name="2023 N1" sheetId="23" r:id="rId25"/>
    <sheet name="2023 NJ" sheetId="24" r:id="rId26"/>
    <sheet name="2024 N1" sheetId="25" r:id="rId27"/>
    <sheet name="2024 NJ" sheetId="26" r:id="rId28"/>
    <sheet name="Planilha2" sheetId="29" r:id="rId2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27" l="1"/>
  <c r="D27" i="27"/>
  <c r="F30" i="28" l="1"/>
  <c r="D30" i="28"/>
  <c r="J28" i="27"/>
  <c r="I28" i="27"/>
  <c r="H28" i="27"/>
  <c r="J27" i="27"/>
  <c r="I27" i="27"/>
  <c r="H27" i="27"/>
  <c r="J26" i="27"/>
  <c r="I26" i="27"/>
  <c r="H26" i="27"/>
  <c r="J25" i="27"/>
  <c r="I25" i="27"/>
  <c r="H25" i="27"/>
  <c r="J24" i="27"/>
  <c r="I24" i="27"/>
  <c r="H24" i="27"/>
  <c r="J23" i="27"/>
  <c r="I23" i="27"/>
  <c r="H23" i="27"/>
  <c r="J22" i="27"/>
  <c r="I22" i="27"/>
  <c r="H22" i="27"/>
  <c r="J21" i="27"/>
  <c r="I21" i="27"/>
  <c r="H21" i="27"/>
  <c r="J20" i="27"/>
  <c r="I20" i="27"/>
  <c r="H20" i="27"/>
  <c r="J19" i="27"/>
  <c r="I19" i="27"/>
  <c r="H19" i="27"/>
  <c r="J18" i="27"/>
  <c r="I18" i="27"/>
  <c r="H18" i="27"/>
  <c r="J17" i="27"/>
  <c r="I17" i="27"/>
  <c r="H17" i="27"/>
  <c r="J16" i="27"/>
  <c r="I16" i="27"/>
  <c r="H16" i="27"/>
  <c r="J15" i="27"/>
  <c r="I15" i="27"/>
  <c r="H15" i="27"/>
  <c r="J14" i="27"/>
  <c r="I14" i="27"/>
  <c r="H14" i="27"/>
  <c r="J13" i="27"/>
  <c r="I13" i="27"/>
  <c r="H13" i="27"/>
  <c r="J12" i="27"/>
  <c r="I12" i="27"/>
  <c r="H12" i="27"/>
  <c r="J11" i="27"/>
  <c r="I11" i="27"/>
  <c r="H11" i="27"/>
  <c r="J10" i="27"/>
  <c r="I10" i="27"/>
  <c r="H10" i="27"/>
  <c r="J9" i="27"/>
  <c r="I9" i="27"/>
  <c r="H9" i="27"/>
  <c r="J8" i="27"/>
  <c r="I8" i="27"/>
  <c r="H8" i="27"/>
  <c r="H7" i="27"/>
  <c r="J7" i="27"/>
  <c r="I7" i="27"/>
  <c r="J6" i="27"/>
  <c r="J5" i="27"/>
  <c r="I6" i="27"/>
  <c r="I5" i="27"/>
  <c r="H6" i="27"/>
  <c r="H5" i="27"/>
  <c r="I4" i="27"/>
  <c r="H4" i="27"/>
  <c r="J4" i="27"/>
  <c r="J3" i="27"/>
  <c r="I3" i="27"/>
  <c r="H3" i="27"/>
  <c r="I29" i="27" l="1"/>
  <c r="J29" i="27"/>
  <c r="H29" i="27"/>
  <c r="C29" i="27"/>
  <c r="C30" i="27" s="1"/>
  <c r="F28" i="27"/>
  <c r="D28" i="27"/>
  <c r="F27" i="27"/>
  <c r="E27" i="27"/>
  <c r="F26" i="27"/>
  <c r="F25" i="27"/>
  <c r="D25" i="27"/>
  <c r="F24" i="27"/>
  <c r="D24" i="27"/>
  <c r="F23" i="27"/>
  <c r="D23" i="27"/>
  <c r="F22" i="27"/>
  <c r="D22" i="27"/>
  <c r="F21" i="27"/>
  <c r="F19" i="27"/>
  <c r="D19" i="27"/>
  <c r="F20" i="27"/>
  <c r="D20" i="27"/>
  <c r="F18" i="27"/>
  <c r="D18" i="27"/>
  <c r="F17" i="27"/>
  <c r="D17" i="27"/>
  <c r="F16" i="27"/>
  <c r="D16" i="27"/>
  <c r="F15" i="27"/>
  <c r="D15" i="27"/>
  <c r="F14" i="27"/>
  <c r="D14" i="27"/>
  <c r="F13" i="27"/>
  <c r="D13" i="27"/>
  <c r="F12" i="27"/>
  <c r="F11" i="27"/>
  <c r="D11" i="27"/>
  <c r="F10" i="27"/>
  <c r="D10" i="27"/>
  <c r="F9" i="27"/>
  <c r="D9" i="27"/>
  <c r="F8" i="27"/>
  <c r="F7" i="27"/>
  <c r="D7" i="27"/>
  <c r="F6" i="27"/>
  <c r="F5" i="27"/>
  <c r="F4" i="27"/>
  <c r="F3" i="27"/>
  <c r="E29" i="27" l="1"/>
  <c r="F29" i="27"/>
  <c r="D29" i="27"/>
  <c r="F30" i="27" l="1"/>
  <c r="J30" i="27"/>
  <c r="E30" i="27"/>
  <c r="D30" i="27"/>
  <c r="H30" i="27"/>
</calcChain>
</file>

<file path=xl/sharedStrings.xml><?xml version="1.0" encoding="utf-8"?>
<sst xmlns="http://schemas.openxmlformats.org/spreadsheetml/2006/main" count="1028" uniqueCount="33">
  <si>
    <t>Critério 3A (Descrição suficiente e tempo suficiente) —A descrição apresenta de maneira devida todos os elementos indispensáveis ao entendimento do item em tempo adequado para a resolução.</t>
  </si>
  <si>
    <t>Critério 1A (descrição insuficiente) – Um ou mais elementos indispensáveis ao entendimento do item não foram descritos e/ou podem não fazer parte do conhecimento imagético por parte da pessoa com deficiência visual. O participante possivelmente não será capaz de realizar o item por informações insuficientes na descrição.</t>
  </si>
  <si>
    <t>Questão</t>
  </si>
  <si>
    <t>Critério de Acessibilidade Atribuído</t>
  </si>
  <si>
    <t>Prova</t>
  </si>
  <si>
    <t>Critério A</t>
  </si>
  <si>
    <t>Critério AA</t>
  </si>
  <si>
    <t>Critério AAA</t>
  </si>
  <si>
    <t>2018 (nível 1)</t>
  </si>
  <si>
    <t>2018 (nível junior)</t>
  </si>
  <si>
    <t>2019 (nível 1)</t>
  </si>
  <si>
    <t>2019 (nível junior)</t>
  </si>
  <si>
    <t>2020 (nível 1, tipo A)</t>
  </si>
  <si>
    <t>2020 (nível 1, tipo B)</t>
  </si>
  <si>
    <t>2020 (nível junior, tipo A)</t>
  </si>
  <si>
    <t>2020 (nível junior, tipo B)</t>
  </si>
  <si>
    <t>2021 (nível 1)</t>
  </si>
  <si>
    <t>2021 (nível junior)</t>
  </si>
  <si>
    <t>2022 (nível 1)</t>
  </si>
  <si>
    <t>2022 (nível junior)</t>
  </si>
  <si>
    <t>2023 (nível 1)</t>
  </si>
  <si>
    <t>2023 (nível junior)</t>
  </si>
  <si>
    <t>2024 (nível 1)</t>
  </si>
  <si>
    <t>2024 (nível junior)</t>
  </si>
  <si>
    <t>Número de Questões</t>
  </si>
  <si>
    <t>Total</t>
  </si>
  <si>
    <t>Porcentagem</t>
  </si>
  <si>
    <t>Elementos Visuais</t>
  </si>
  <si>
    <t>Não</t>
  </si>
  <si>
    <t>Sim</t>
  </si>
  <si>
    <t>Questões com imagens</t>
  </si>
  <si>
    <t>Análise da descrição</t>
  </si>
  <si>
    <t>Questões com Elementos Visuais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</si>
</sst>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0" xfId="0" applyAlignment="1">
      <alignment horizontal="center"/>
    </xf>
    <xf numFmtId="0" fontId="0" fillId="2" borderId="0" xfId="0" applyFill="1"/>
    <xf numFmtId="0" fontId="1" fillId="2" borderId="2" xfId="0" applyFont="1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3" borderId="0" xfId="0" applyFill="1"/>
    <xf numFmtId="0" fontId="3" fillId="2" borderId="3" xfId="0" applyFont="1" applyFill="1" applyBorder="1" applyAlignment="1">
      <alignment horizontal="left"/>
    </xf>
    <xf numFmtId="0" fontId="0" fillId="2" borderId="3" xfId="0" applyFill="1" applyBorder="1"/>
    <xf numFmtId="0" fontId="4" fillId="2" borderId="3" xfId="0" applyFont="1" applyFill="1" applyBorder="1" applyAlignment="1">
      <alignment horizontal="left"/>
    </xf>
    <xf numFmtId="0" fontId="0" fillId="2" borderId="3" xfId="0" applyFill="1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0" xfId="1" applyNumberFormat="1" applyFont="1" applyFill="1" applyAlignment="1">
      <alignment horizontal="center"/>
    </xf>
    <xf numFmtId="0" fontId="5" fillId="0" borderId="2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0" fillId="2" borderId="4" xfId="0" applyFill="1" applyBorder="1" applyAlignment="1">
      <alignment horizontal="center"/>
    </xf>
    <xf numFmtId="0" fontId="0" fillId="2" borderId="4" xfId="0" applyFill="1" applyBorder="1"/>
    <xf numFmtId="0" fontId="0" fillId="2" borderId="4" xfId="0" applyFill="1" applyBorder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0" fillId="2" borderId="0" xfId="0" applyFill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Porcentagem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5011239280493467"/>
          <c:y val="1.8626274474759074E-2"/>
          <c:w val="0.56119674834983646"/>
          <c:h val="0.8641105955346354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'Quadro Geral'!$D$2</c:f>
              <c:strCache>
                <c:ptCount val="1"/>
                <c:pt idx="0">
                  <c:v>Critério 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cene3d>
              <a:camera prst="orthographicFront">
                <a:rot lat="0" lon="0" rev="0"/>
              </a:camera>
              <a:lightRig rig="brightRoom" dir="tl">
                <a:rot lat="0" lon="0" rev="1800000"/>
              </a:lightRig>
            </a:scene3d>
            <a:sp3d contourW="10160" prstMaterial="dkEdge">
              <a:bevelT w="38100" h="50800" prst="angle"/>
              <a:contourClr>
                <a:scrgbClr r="0" g="0" b="0">
                  <a:shade val="40000"/>
                  <a:satMod val="150000"/>
                </a:scrgb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'Quadro Geral'!$B$3:$B$28</c:f>
              <c:strCache>
                <c:ptCount val="2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 (nível 1)</c:v>
                </c:pt>
                <c:pt idx="11">
                  <c:v>2018 (nível junior)</c:v>
                </c:pt>
                <c:pt idx="12">
                  <c:v>2019 (nível 1)</c:v>
                </c:pt>
                <c:pt idx="13">
                  <c:v>2019 (nível junior)</c:v>
                </c:pt>
                <c:pt idx="14">
                  <c:v>2020 (nível 1, tipo A)</c:v>
                </c:pt>
                <c:pt idx="15">
                  <c:v>2020 (nível 1, tipo B)</c:v>
                </c:pt>
                <c:pt idx="16">
                  <c:v>2020 (nível junior, tipo A)</c:v>
                </c:pt>
                <c:pt idx="17">
                  <c:v>2020 (nível junior, tipo B)</c:v>
                </c:pt>
                <c:pt idx="18">
                  <c:v>2021 (nível 1)</c:v>
                </c:pt>
                <c:pt idx="19">
                  <c:v>2021 (nível junior)</c:v>
                </c:pt>
                <c:pt idx="20">
                  <c:v>2022 (nível 1)</c:v>
                </c:pt>
                <c:pt idx="21">
                  <c:v>2022 (nível junior)</c:v>
                </c:pt>
                <c:pt idx="22">
                  <c:v>2023 (nível 1)</c:v>
                </c:pt>
                <c:pt idx="23">
                  <c:v>2023 (nível junior)</c:v>
                </c:pt>
                <c:pt idx="24">
                  <c:v>2024 (nível 1)</c:v>
                </c:pt>
                <c:pt idx="25">
                  <c:v>2024 (nível junior)</c:v>
                </c:pt>
              </c:strCache>
            </c:strRef>
          </c:cat>
          <c:val>
            <c:numRef>
              <c:f>'Quadro Geral'!$D$3:$D$28</c:f>
              <c:numCache>
                <c:formatCode>General</c:formatCode>
                <c:ptCount val="26"/>
                <c:pt idx="4">
                  <c:v>5</c:v>
                </c:pt>
                <c:pt idx="6">
                  <c:v>3</c:v>
                </c:pt>
                <c:pt idx="7">
                  <c:v>4</c:v>
                </c:pt>
                <c:pt idx="8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4</c:v>
                </c:pt>
                <c:pt idx="13">
                  <c:v>5</c:v>
                </c:pt>
                <c:pt idx="14">
                  <c:v>3</c:v>
                </c:pt>
                <c:pt idx="15">
                  <c:v>6</c:v>
                </c:pt>
                <c:pt idx="16">
                  <c:v>5</c:v>
                </c:pt>
                <c:pt idx="17">
                  <c:v>6</c:v>
                </c:pt>
                <c:pt idx="19">
                  <c:v>3</c:v>
                </c:pt>
                <c:pt idx="20">
                  <c:v>3</c:v>
                </c:pt>
                <c:pt idx="21">
                  <c:v>2</c:v>
                </c:pt>
                <c:pt idx="22">
                  <c:v>1</c:v>
                </c:pt>
                <c:pt idx="23">
                  <c:v>1</c:v>
                </c:pt>
                <c:pt idx="24">
                  <c:v>5</c:v>
                </c:pt>
                <c:pt idx="2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B-4E92-9BB5-9E2E019AB3E9}"/>
            </c:ext>
          </c:extLst>
        </c:ser>
        <c:ser>
          <c:idx val="1"/>
          <c:order val="1"/>
          <c:tx>
            <c:strRef>
              <c:f>'Quadro Geral'!$E$2</c:f>
              <c:strCache>
                <c:ptCount val="1"/>
                <c:pt idx="0">
                  <c:v>Critério AA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cene3d>
              <a:camera prst="orthographicFront">
                <a:rot lat="0" lon="0" rev="0"/>
              </a:camera>
              <a:lightRig rig="brightRoom" dir="tl">
                <a:rot lat="0" lon="0" rev="1800000"/>
              </a:lightRig>
            </a:scene3d>
            <a:sp3d contourW="10160" prstMaterial="dkEdge">
              <a:bevelT w="38100" h="50800" prst="angle"/>
              <a:contourClr>
                <a:scrgbClr r="0" g="0" b="0">
                  <a:shade val="40000"/>
                  <a:satMod val="150000"/>
                </a:scrgb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'Quadro Geral'!$B$3:$B$28</c:f>
              <c:strCache>
                <c:ptCount val="2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 (nível 1)</c:v>
                </c:pt>
                <c:pt idx="11">
                  <c:v>2018 (nível junior)</c:v>
                </c:pt>
                <c:pt idx="12">
                  <c:v>2019 (nível 1)</c:v>
                </c:pt>
                <c:pt idx="13">
                  <c:v>2019 (nível junior)</c:v>
                </c:pt>
                <c:pt idx="14">
                  <c:v>2020 (nível 1, tipo A)</c:v>
                </c:pt>
                <c:pt idx="15">
                  <c:v>2020 (nível 1, tipo B)</c:v>
                </c:pt>
                <c:pt idx="16">
                  <c:v>2020 (nível junior, tipo A)</c:v>
                </c:pt>
                <c:pt idx="17">
                  <c:v>2020 (nível junior, tipo B)</c:v>
                </c:pt>
                <c:pt idx="18">
                  <c:v>2021 (nível 1)</c:v>
                </c:pt>
                <c:pt idx="19">
                  <c:v>2021 (nível junior)</c:v>
                </c:pt>
                <c:pt idx="20">
                  <c:v>2022 (nível 1)</c:v>
                </c:pt>
                <c:pt idx="21">
                  <c:v>2022 (nível junior)</c:v>
                </c:pt>
                <c:pt idx="22">
                  <c:v>2023 (nível 1)</c:v>
                </c:pt>
                <c:pt idx="23">
                  <c:v>2023 (nível junior)</c:v>
                </c:pt>
                <c:pt idx="24">
                  <c:v>2024 (nível 1)</c:v>
                </c:pt>
                <c:pt idx="25">
                  <c:v>2024 (nível junior)</c:v>
                </c:pt>
              </c:strCache>
            </c:strRef>
          </c:cat>
          <c:val>
            <c:numRef>
              <c:f>'Quadro Geral'!$E$3:$E$28</c:f>
              <c:numCache>
                <c:formatCode>General</c:formatCode>
                <c:ptCount val="26"/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9B-4E92-9BB5-9E2E019AB3E9}"/>
            </c:ext>
          </c:extLst>
        </c:ser>
        <c:ser>
          <c:idx val="2"/>
          <c:order val="2"/>
          <c:tx>
            <c:strRef>
              <c:f>'Quadro Geral'!$F$2</c:f>
              <c:strCache>
                <c:ptCount val="1"/>
                <c:pt idx="0">
                  <c:v>Critério AAA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cene3d>
              <a:camera prst="orthographicFront">
                <a:rot lat="0" lon="0" rev="0"/>
              </a:camera>
              <a:lightRig rig="brightRoom" dir="tl">
                <a:rot lat="0" lon="0" rev="1800000"/>
              </a:lightRig>
            </a:scene3d>
            <a:sp3d contourW="10160" prstMaterial="dkEdge">
              <a:bevelT w="38100" h="50800" prst="angle"/>
              <a:contourClr>
                <a:scrgbClr r="0" g="0" b="0">
                  <a:shade val="40000"/>
                  <a:satMod val="150000"/>
                </a:scrgb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'Quadro Geral'!$B$3:$B$28</c:f>
              <c:strCache>
                <c:ptCount val="2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 (nível 1)</c:v>
                </c:pt>
                <c:pt idx="11">
                  <c:v>2018 (nível junior)</c:v>
                </c:pt>
                <c:pt idx="12">
                  <c:v>2019 (nível 1)</c:v>
                </c:pt>
                <c:pt idx="13">
                  <c:v>2019 (nível junior)</c:v>
                </c:pt>
                <c:pt idx="14">
                  <c:v>2020 (nível 1, tipo A)</c:v>
                </c:pt>
                <c:pt idx="15">
                  <c:v>2020 (nível 1, tipo B)</c:v>
                </c:pt>
                <c:pt idx="16">
                  <c:v>2020 (nível junior, tipo A)</c:v>
                </c:pt>
                <c:pt idx="17">
                  <c:v>2020 (nível junior, tipo B)</c:v>
                </c:pt>
                <c:pt idx="18">
                  <c:v>2021 (nível 1)</c:v>
                </c:pt>
                <c:pt idx="19">
                  <c:v>2021 (nível junior)</c:v>
                </c:pt>
                <c:pt idx="20">
                  <c:v>2022 (nível 1)</c:v>
                </c:pt>
                <c:pt idx="21">
                  <c:v>2022 (nível junior)</c:v>
                </c:pt>
                <c:pt idx="22">
                  <c:v>2023 (nível 1)</c:v>
                </c:pt>
                <c:pt idx="23">
                  <c:v>2023 (nível junior)</c:v>
                </c:pt>
                <c:pt idx="24">
                  <c:v>2024 (nível 1)</c:v>
                </c:pt>
                <c:pt idx="25">
                  <c:v>2024 (nível junior)</c:v>
                </c:pt>
              </c:strCache>
            </c:strRef>
          </c:cat>
          <c:val>
            <c:numRef>
              <c:f>'Quadro Geral'!$F$3:$F$28</c:f>
              <c:numCache>
                <c:formatCode>General</c:formatCode>
                <c:ptCount val="26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15</c:v>
                </c:pt>
                <c:pt idx="5">
                  <c:v>20</c:v>
                </c:pt>
                <c:pt idx="6">
                  <c:v>22</c:v>
                </c:pt>
                <c:pt idx="7">
                  <c:v>21</c:v>
                </c:pt>
                <c:pt idx="8">
                  <c:v>19</c:v>
                </c:pt>
                <c:pt idx="9">
                  <c:v>15</c:v>
                </c:pt>
                <c:pt idx="10">
                  <c:v>9</c:v>
                </c:pt>
                <c:pt idx="11">
                  <c:v>9</c:v>
                </c:pt>
                <c:pt idx="12">
                  <c:v>11</c:v>
                </c:pt>
                <c:pt idx="13">
                  <c:v>10</c:v>
                </c:pt>
                <c:pt idx="14">
                  <c:v>12</c:v>
                </c:pt>
                <c:pt idx="15">
                  <c:v>9</c:v>
                </c:pt>
                <c:pt idx="16">
                  <c:v>10</c:v>
                </c:pt>
                <c:pt idx="17">
                  <c:v>9</c:v>
                </c:pt>
                <c:pt idx="18">
                  <c:v>15</c:v>
                </c:pt>
                <c:pt idx="19">
                  <c:v>12</c:v>
                </c:pt>
                <c:pt idx="20">
                  <c:v>12</c:v>
                </c:pt>
                <c:pt idx="21">
                  <c:v>13</c:v>
                </c:pt>
                <c:pt idx="22">
                  <c:v>14</c:v>
                </c:pt>
                <c:pt idx="23">
                  <c:v>14</c:v>
                </c:pt>
                <c:pt idx="24">
                  <c:v>10</c:v>
                </c:pt>
                <c:pt idx="2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9B-4E92-9BB5-9E2E019AB3E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755093264"/>
        <c:axId val="1755087504"/>
      </c:barChart>
      <c:catAx>
        <c:axId val="1755093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55087504"/>
        <c:crosses val="autoZero"/>
        <c:auto val="1"/>
        <c:lblAlgn val="ctr"/>
        <c:lblOffset val="100"/>
        <c:noMultiLvlLbl val="0"/>
      </c:catAx>
      <c:valAx>
        <c:axId val="1755087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55093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'Elementos Visuais'!$D$2:$D$3</c:f>
              <c:strCache>
                <c:ptCount val="2"/>
                <c:pt idx="1">
                  <c:v>Critério 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cene3d>
              <a:camera prst="orthographicFront">
                <a:rot lat="0" lon="0" rev="0"/>
              </a:camera>
              <a:lightRig rig="brightRoom" dir="tl">
                <a:rot lat="0" lon="0" rev="1800000"/>
              </a:lightRig>
            </a:scene3d>
            <a:sp3d contourW="10160" prstMaterial="dkEdge">
              <a:bevelT w="38100" h="50800" prst="angle"/>
              <a:contourClr>
                <a:scrgbClr r="0" g="0" b="0">
                  <a:shade val="40000"/>
                  <a:satMod val="150000"/>
                </a:scrgb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'Elementos Visuais'!$B$4:$B$29</c:f>
              <c:strCache>
                <c:ptCount val="2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 (nível 1)</c:v>
                </c:pt>
                <c:pt idx="11">
                  <c:v>2018 (nível junior)</c:v>
                </c:pt>
                <c:pt idx="12">
                  <c:v>2019 (nível 1)</c:v>
                </c:pt>
                <c:pt idx="13">
                  <c:v>2019 (nível junior)</c:v>
                </c:pt>
                <c:pt idx="14">
                  <c:v>2020 (nível 1, tipo A)</c:v>
                </c:pt>
                <c:pt idx="15">
                  <c:v>2020 (nível 1, tipo B)</c:v>
                </c:pt>
                <c:pt idx="16">
                  <c:v>2020 (nível junior, tipo A)</c:v>
                </c:pt>
                <c:pt idx="17">
                  <c:v>2020 (nível junior, tipo B)</c:v>
                </c:pt>
                <c:pt idx="18">
                  <c:v>2021 (nível 1)</c:v>
                </c:pt>
                <c:pt idx="19">
                  <c:v>2021 (nível junior)</c:v>
                </c:pt>
                <c:pt idx="20">
                  <c:v>2022 (nível 1)</c:v>
                </c:pt>
                <c:pt idx="21">
                  <c:v>2022 (nível junior)</c:v>
                </c:pt>
                <c:pt idx="22">
                  <c:v>2023 (nível 1)</c:v>
                </c:pt>
                <c:pt idx="23">
                  <c:v>2023 (nível junior)</c:v>
                </c:pt>
                <c:pt idx="24">
                  <c:v>2024 (nível 1)</c:v>
                </c:pt>
                <c:pt idx="25">
                  <c:v>2024 (nível junior)</c:v>
                </c:pt>
              </c:strCache>
            </c:strRef>
          </c:cat>
          <c:val>
            <c:numRef>
              <c:f>'Elementos Visuais'!$D$4:$D$29</c:f>
              <c:numCache>
                <c:formatCode>General</c:formatCode>
                <c:ptCount val="26"/>
                <c:pt idx="4">
                  <c:v>5</c:v>
                </c:pt>
                <c:pt idx="6">
                  <c:v>3</c:v>
                </c:pt>
                <c:pt idx="7">
                  <c:v>4</c:v>
                </c:pt>
                <c:pt idx="8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4</c:v>
                </c:pt>
                <c:pt idx="13">
                  <c:v>5</c:v>
                </c:pt>
                <c:pt idx="14">
                  <c:v>3</c:v>
                </c:pt>
                <c:pt idx="15">
                  <c:v>6</c:v>
                </c:pt>
                <c:pt idx="16">
                  <c:v>5</c:v>
                </c:pt>
                <c:pt idx="17">
                  <c:v>6</c:v>
                </c:pt>
                <c:pt idx="19">
                  <c:v>3</c:v>
                </c:pt>
                <c:pt idx="20">
                  <c:v>3</c:v>
                </c:pt>
                <c:pt idx="21">
                  <c:v>2</c:v>
                </c:pt>
                <c:pt idx="22">
                  <c:v>1</c:v>
                </c:pt>
                <c:pt idx="23">
                  <c:v>1</c:v>
                </c:pt>
                <c:pt idx="24">
                  <c:v>5</c:v>
                </c:pt>
                <c:pt idx="2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A3-4816-BDE9-BF54BCCA97C6}"/>
            </c:ext>
          </c:extLst>
        </c:ser>
        <c:ser>
          <c:idx val="1"/>
          <c:order val="1"/>
          <c:tx>
            <c:strRef>
              <c:f>'Elementos Visuais'!$E$2:$E$3</c:f>
              <c:strCache>
                <c:ptCount val="2"/>
                <c:pt idx="1">
                  <c:v>Critério AA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cene3d>
              <a:camera prst="orthographicFront">
                <a:rot lat="0" lon="0" rev="0"/>
              </a:camera>
              <a:lightRig rig="brightRoom" dir="tl">
                <a:rot lat="0" lon="0" rev="1800000"/>
              </a:lightRig>
            </a:scene3d>
            <a:sp3d contourW="10160" prstMaterial="dkEdge">
              <a:bevelT w="38100" h="50800" prst="angle"/>
              <a:contourClr>
                <a:scrgbClr r="0" g="0" b="0">
                  <a:shade val="40000"/>
                  <a:satMod val="150000"/>
                </a:scrgb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'Elementos Visuais'!$B$4:$B$29</c:f>
              <c:strCache>
                <c:ptCount val="2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 (nível 1)</c:v>
                </c:pt>
                <c:pt idx="11">
                  <c:v>2018 (nível junior)</c:v>
                </c:pt>
                <c:pt idx="12">
                  <c:v>2019 (nível 1)</c:v>
                </c:pt>
                <c:pt idx="13">
                  <c:v>2019 (nível junior)</c:v>
                </c:pt>
                <c:pt idx="14">
                  <c:v>2020 (nível 1, tipo A)</c:v>
                </c:pt>
                <c:pt idx="15">
                  <c:v>2020 (nível 1, tipo B)</c:v>
                </c:pt>
                <c:pt idx="16">
                  <c:v>2020 (nível junior, tipo A)</c:v>
                </c:pt>
                <c:pt idx="17">
                  <c:v>2020 (nível junior, tipo B)</c:v>
                </c:pt>
                <c:pt idx="18">
                  <c:v>2021 (nível 1)</c:v>
                </c:pt>
                <c:pt idx="19">
                  <c:v>2021 (nível junior)</c:v>
                </c:pt>
                <c:pt idx="20">
                  <c:v>2022 (nível 1)</c:v>
                </c:pt>
                <c:pt idx="21">
                  <c:v>2022 (nível junior)</c:v>
                </c:pt>
                <c:pt idx="22">
                  <c:v>2023 (nível 1)</c:v>
                </c:pt>
                <c:pt idx="23">
                  <c:v>2023 (nível junior)</c:v>
                </c:pt>
                <c:pt idx="24">
                  <c:v>2024 (nível 1)</c:v>
                </c:pt>
                <c:pt idx="25">
                  <c:v>2024 (nível junior)</c:v>
                </c:pt>
              </c:strCache>
            </c:strRef>
          </c:cat>
          <c:val>
            <c:numRef>
              <c:f>'Elementos Visuais'!$E$4:$E$29</c:f>
              <c:numCache>
                <c:formatCode>General</c:formatCode>
                <c:ptCount val="26"/>
              </c:numCache>
            </c:numRef>
          </c:val>
          <c:extLst>
            <c:ext xmlns:c16="http://schemas.microsoft.com/office/drawing/2014/chart" uri="{C3380CC4-5D6E-409C-BE32-E72D297353CC}">
              <c16:uniqueId val="{00000001-18A3-4816-BDE9-BF54BCCA97C6}"/>
            </c:ext>
          </c:extLst>
        </c:ser>
        <c:ser>
          <c:idx val="2"/>
          <c:order val="2"/>
          <c:tx>
            <c:strRef>
              <c:f>'Elementos Visuais'!$F$2:$F$3</c:f>
              <c:strCache>
                <c:ptCount val="2"/>
                <c:pt idx="1">
                  <c:v>Critério AAA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cene3d>
              <a:camera prst="orthographicFront">
                <a:rot lat="0" lon="0" rev="0"/>
              </a:camera>
              <a:lightRig rig="brightRoom" dir="tl">
                <a:rot lat="0" lon="0" rev="1800000"/>
              </a:lightRig>
            </a:scene3d>
            <a:sp3d contourW="10160" prstMaterial="dkEdge">
              <a:bevelT w="38100" h="50800" prst="angle"/>
              <a:contourClr>
                <a:scrgbClr r="0" g="0" b="0">
                  <a:shade val="40000"/>
                  <a:satMod val="150000"/>
                </a:scrgb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'Elementos Visuais'!$B$4:$B$29</c:f>
              <c:strCache>
                <c:ptCount val="2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 (nível 1)</c:v>
                </c:pt>
                <c:pt idx="11">
                  <c:v>2018 (nível junior)</c:v>
                </c:pt>
                <c:pt idx="12">
                  <c:v>2019 (nível 1)</c:v>
                </c:pt>
                <c:pt idx="13">
                  <c:v>2019 (nível junior)</c:v>
                </c:pt>
                <c:pt idx="14">
                  <c:v>2020 (nível 1, tipo A)</c:v>
                </c:pt>
                <c:pt idx="15">
                  <c:v>2020 (nível 1, tipo B)</c:v>
                </c:pt>
                <c:pt idx="16">
                  <c:v>2020 (nível junior, tipo A)</c:v>
                </c:pt>
                <c:pt idx="17">
                  <c:v>2020 (nível junior, tipo B)</c:v>
                </c:pt>
                <c:pt idx="18">
                  <c:v>2021 (nível 1)</c:v>
                </c:pt>
                <c:pt idx="19">
                  <c:v>2021 (nível junior)</c:v>
                </c:pt>
                <c:pt idx="20">
                  <c:v>2022 (nível 1)</c:v>
                </c:pt>
                <c:pt idx="21">
                  <c:v>2022 (nível junior)</c:v>
                </c:pt>
                <c:pt idx="22">
                  <c:v>2023 (nível 1)</c:v>
                </c:pt>
                <c:pt idx="23">
                  <c:v>2023 (nível junior)</c:v>
                </c:pt>
                <c:pt idx="24">
                  <c:v>2024 (nível 1)</c:v>
                </c:pt>
                <c:pt idx="25">
                  <c:v>2024 (nível junior)</c:v>
                </c:pt>
              </c:strCache>
            </c:strRef>
          </c:cat>
          <c:val>
            <c:numRef>
              <c:f>'Elementos Visuais'!$F$4:$F$29</c:f>
              <c:numCache>
                <c:formatCode>General</c:formatCode>
                <c:ptCount val="26"/>
                <c:pt idx="3">
                  <c:v>5</c:v>
                </c:pt>
                <c:pt idx="7">
                  <c:v>1</c:v>
                </c:pt>
                <c:pt idx="13">
                  <c:v>3</c:v>
                </c:pt>
                <c:pt idx="20">
                  <c:v>2</c:v>
                </c:pt>
                <c:pt idx="21">
                  <c:v>7</c:v>
                </c:pt>
                <c:pt idx="2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A3-4816-BDE9-BF54BCCA97C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391563583"/>
        <c:axId val="1391562623"/>
      </c:barChart>
      <c:catAx>
        <c:axId val="1391563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91562623"/>
        <c:crosses val="autoZero"/>
        <c:auto val="1"/>
        <c:lblAlgn val="ctr"/>
        <c:lblOffset val="100"/>
        <c:noMultiLvlLbl val="0"/>
      </c:catAx>
      <c:valAx>
        <c:axId val="139156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91563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545522</xdr:colOff>
      <xdr:row>0</xdr:row>
      <xdr:rowOff>154892</xdr:rowOff>
    </xdr:from>
    <xdr:to>
      <xdr:col>18</xdr:col>
      <xdr:colOff>213645</xdr:colOff>
      <xdr:row>33</xdr:row>
      <xdr:rowOff>96141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0FAC2F9-A395-94CB-0FCD-BEC7A3AFDE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512748</xdr:colOff>
      <xdr:row>1</xdr:row>
      <xdr:rowOff>12178</xdr:rowOff>
    </xdr:from>
    <xdr:to>
      <xdr:col>13</xdr:col>
      <xdr:colOff>436285</xdr:colOff>
      <xdr:row>23</xdr:row>
      <xdr:rowOff>125938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9DAE918-90E2-CEFF-77AF-B062659341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Personalizada 19">
      <a:dk1>
        <a:srgbClr val="171717"/>
      </a:dk1>
      <a:lt1>
        <a:srgbClr val="FFFFFF"/>
      </a:lt1>
      <a:dk2>
        <a:srgbClr val="171717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7030A0"/>
      </a:accent4>
      <a:accent5>
        <a:srgbClr val="0072B2"/>
      </a:accent5>
      <a:accent6>
        <a:srgbClr val="009E73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Borda de Brilho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EE189-C818-4EB3-8C85-4817F7812831}">
  <dimension ref="A1:J64"/>
  <sheetViews>
    <sheetView topLeftCell="G1" zoomScale="115" zoomScaleNormal="115" workbookViewId="0">
      <selection activeCell="G35" sqref="A35:XFD1048576"/>
    </sheetView>
  </sheetViews>
  <sheetFormatPr defaultColWidth="0" defaultRowHeight="14.4" zeroHeight="1" x14ac:dyDescent="0.3"/>
  <cols>
    <col min="1" max="1" width="8.59765625" style="5" customWidth="1"/>
    <col min="2" max="2" width="20.3984375" style="5" bestFit="1" customWidth="1"/>
    <col min="3" max="3" width="17.69921875" style="7" bestFit="1" customWidth="1"/>
    <col min="4" max="4" width="9.09765625" style="5" bestFit="1" customWidth="1"/>
    <col min="5" max="6" width="10.09765625" style="5" bestFit="1" customWidth="1"/>
    <col min="7" max="7" width="8.59765625" style="5" customWidth="1"/>
    <col min="8" max="8" width="8" style="5" bestFit="1" customWidth="1"/>
    <col min="9" max="9" width="9.09765625" style="5" bestFit="1" customWidth="1"/>
    <col min="10" max="10" width="10.09765625" style="5" bestFit="1" customWidth="1"/>
    <col min="11" max="18" width="8.59765625" style="5" customWidth="1"/>
    <col min="19" max="16384" width="8.59765625" style="5" hidden="1"/>
  </cols>
  <sheetData>
    <row r="1" spans="2:10" x14ac:dyDescent="0.3">
      <c r="D1" s="23" t="s">
        <v>31</v>
      </c>
      <c r="E1" s="24"/>
      <c r="F1" s="25"/>
      <c r="H1" s="22" t="s">
        <v>30</v>
      </c>
      <c r="I1" s="22"/>
      <c r="J1" s="22"/>
    </row>
    <row r="2" spans="2:10" x14ac:dyDescent="0.3">
      <c r="B2" s="10" t="s">
        <v>4</v>
      </c>
      <c r="C2" s="12" t="s">
        <v>24</v>
      </c>
      <c r="D2" s="10" t="s">
        <v>5</v>
      </c>
      <c r="E2" s="18" t="s">
        <v>6</v>
      </c>
      <c r="F2" s="10" t="s">
        <v>7</v>
      </c>
      <c r="H2" s="10" t="s">
        <v>5</v>
      </c>
      <c r="I2" s="10" t="s">
        <v>6</v>
      </c>
      <c r="J2" s="10" t="s">
        <v>7</v>
      </c>
    </row>
    <row r="3" spans="2:10" x14ac:dyDescent="0.3">
      <c r="B3" s="9">
        <v>2008</v>
      </c>
      <c r="C3" s="13">
        <v>20</v>
      </c>
      <c r="D3" s="13"/>
      <c r="E3" s="19"/>
      <c r="F3" s="13">
        <f>COUNTIF('2008'!B2:B21,"*3A*")</f>
        <v>20</v>
      </c>
      <c r="G3" s="20"/>
      <c r="H3" s="10">
        <f>COUNTIFS('2008'!B2:B21,"*1A*",'2008'!C2:C21,"Sim")</f>
        <v>0</v>
      </c>
      <c r="I3" s="10">
        <f>COUNTIFS('2008'!B2:B21,"*2A*",'2008'!C2:C21,"Sim")</f>
        <v>0</v>
      </c>
      <c r="J3" s="10">
        <f>COUNTIFS('2008'!B2:B21,"*3A*",'2008'!C2:C21,"Sim")</f>
        <v>0</v>
      </c>
    </row>
    <row r="4" spans="2:10" x14ac:dyDescent="0.3">
      <c r="B4" s="9">
        <v>2009</v>
      </c>
      <c r="C4" s="13">
        <v>20</v>
      </c>
      <c r="D4" s="13"/>
      <c r="E4" s="19"/>
      <c r="F4" s="13">
        <f>COUNTIF('2009'!$B:$B,"*3A*")</f>
        <v>20</v>
      </c>
      <c r="G4" s="20"/>
      <c r="H4" s="10">
        <f>COUNTIFS('2009'!B2:B21,"*1A*",'2009'!C2:C21,"Sim")</f>
        <v>0</v>
      </c>
      <c r="I4" s="10">
        <f>COUNTIFS('2009'!B2:B21,"*2A*",'2009'!C2:C21,"Sim")</f>
        <v>0</v>
      </c>
      <c r="J4" s="10">
        <f>COUNTIFS('2009'!B2:B21,"*3A*",'2009'!C2:C21,"Sim")</f>
        <v>0</v>
      </c>
    </row>
    <row r="5" spans="2:10" x14ac:dyDescent="0.3">
      <c r="B5" s="9">
        <v>2010</v>
      </c>
      <c r="C5" s="13">
        <v>20</v>
      </c>
      <c r="D5" s="13"/>
      <c r="E5" s="19"/>
      <c r="F5" s="13">
        <f>COUNTIF('2010'!$B:$B,"*3A*")</f>
        <v>20</v>
      </c>
      <c r="G5" s="20"/>
      <c r="H5" s="10">
        <f>COUNTIFS('2010'!B2:B21,"*1A*",'2010'!C2:C21,"Sim")</f>
        <v>0</v>
      </c>
      <c r="I5" s="10">
        <f>COUNTIFS('2010'!B2:B21,"*2A*",'2010'!C2:C21,"Sim")</f>
        <v>0</v>
      </c>
      <c r="J5" s="10">
        <f>COUNTIFS('2010'!B2:B21,"*3A*",'2010'!C2:C21,"Sim")</f>
        <v>0</v>
      </c>
    </row>
    <row r="6" spans="2:10" x14ac:dyDescent="0.3">
      <c r="B6" s="9">
        <v>2011</v>
      </c>
      <c r="C6" s="13">
        <v>20</v>
      </c>
      <c r="D6" s="13"/>
      <c r="E6" s="19"/>
      <c r="F6" s="13">
        <f>COUNTIF('2011'!$B:$B,"*3A*")</f>
        <v>20</v>
      </c>
      <c r="G6" s="20"/>
      <c r="H6" s="10">
        <f>COUNTIFS('2011'!B2:B21,"*1A*",'2011'!C2:C21,"Sim")</f>
        <v>0</v>
      </c>
      <c r="I6" s="10">
        <f>COUNTIFS('2011'!B2:B21,"*2A*",'2011'!C2:C21,"Sim")</f>
        <v>0</v>
      </c>
      <c r="J6" s="10">
        <f>COUNTIFS('2011'!B2:B21,"*3A*",'2011'!C2:C21,"Sim")</f>
        <v>5</v>
      </c>
    </row>
    <row r="7" spans="2:10" x14ac:dyDescent="0.3">
      <c r="B7" s="9">
        <v>2012</v>
      </c>
      <c r="C7" s="13">
        <v>20</v>
      </c>
      <c r="D7" s="13">
        <f>COUNTIF('2012'!$B:$B,"*1A*")</f>
        <v>5</v>
      </c>
      <c r="E7" s="19"/>
      <c r="F7" s="13">
        <f>COUNTIF('2012'!$B:$B,"*3A*")</f>
        <v>15</v>
      </c>
      <c r="G7" s="20"/>
      <c r="H7" s="10">
        <f>COUNTIFS('2012'!B:B,"*1A*",'2012'!C:C,"Sim")</f>
        <v>5</v>
      </c>
      <c r="I7" s="10">
        <f>COUNTIFS('2012'!B:B,"*2A*",'2012'!C:C,"Sim")</f>
        <v>0</v>
      </c>
      <c r="J7" s="10">
        <f>COUNTIFS('2012'!B:B,"*3A*",'2012'!C:C,"Sim")</f>
        <v>0</v>
      </c>
    </row>
    <row r="8" spans="2:10" x14ac:dyDescent="0.3">
      <c r="B8" s="9">
        <v>2013</v>
      </c>
      <c r="C8" s="13">
        <v>20</v>
      </c>
      <c r="D8" s="13"/>
      <c r="E8" s="19"/>
      <c r="F8" s="13">
        <f>COUNTIF('2013'!$B:$B,"*3A*")</f>
        <v>20</v>
      </c>
      <c r="G8" s="20"/>
      <c r="H8" s="10">
        <f>COUNTIFS('2013'!B:B,"*1A*",'2013'!C:C,"Sim")</f>
        <v>0</v>
      </c>
      <c r="I8" s="10">
        <f>COUNTIFS('2013'!B:B,"*2A*",'2013'!C:C,"Sim")</f>
        <v>0</v>
      </c>
      <c r="J8" s="10">
        <f>COUNTIFS('2013'!B:B,"*3A*",'2013'!C:C,"Sim")</f>
        <v>0</v>
      </c>
    </row>
    <row r="9" spans="2:10" x14ac:dyDescent="0.3">
      <c r="B9" s="9">
        <v>2014</v>
      </c>
      <c r="C9" s="13">
        <v>25</v>
      </c>
      <c r="D9" s="13">
        <f>COUNTIF('2014'!$B:$B,"*1A*")</f>
        <v>3</v>
      </c>
      <c r="E9" s="19"/>
      <c r="F9" s="13">
        <f>COUNTIF('2014'!$B:$B,"*3A*")</f>
        <v>22</v>
      </c>
      <c r="G9" s="20"/>
      <c r="H9" s="10">
        <f>COUNTIFS('2014'!B:B,"*1A*",'2014'!C:C,"Sim")</f>
        <v>3</v>
      </c>
      <c r="I9" s="10">
        <f>COUNTIFS('2014'!B:B,"*2A*",'2014'!C:C,"Sim")</f>
        <v>0</v>
      </c>
      <c r="J9" s="10">
        <f>COUNTIFS('2014'!B:B,"*3A*",'2014'!C:C,"Sim")</f>
        <v>0</v>
      </c>
    </row>
    <row r="10" spans="2:10" x14ac:dyDescent="0.3">
      <c r="B10" s="9">
        <v>2015</v>
      </c>
      <c r="C10" s="13">
        <v>25</v>
      </c>
      <c r="D10" s="13">
        <f>COUNTIF('2015'!$B:$B,"*1A*")</f>
        <v>4</v>
      </c>
      <c r="E10" s="19"/>
      <c r="F10" s="13">
        <f>COUNTIF('2015'!$B:$B,"*3A*")</f>
        <v>21</v>
      </c>
      <c r="G10" s="20"/>
      <c r="H10" s="10">
        <f>COUNTIFS('2015'!B:B,"*1A*",'2015'!C:C,"Sim")</f>
        <v>4</v>
      </c>
      <c r="I10" s="10">
        <f>COUNTIFS('2015'!B:B,"*2A*",'2015'!C:C,"Sim")</f>
        <v>0</v>
      </c>
      <c r="J10" s="10">
        <f>COUNTIFS('2015'!B:B,"*3A*",'2015'!C:C,"Sim")</f>
        <v>1</v>
      </c>
    </row>
    <row r="11" spans="2:10" x14ac:dyDescent="0.3">
      <c r="B11" s="9">
        <v>2016</v>
      </c>
      <c r="C11" s="13">
        <v>25</v>
      </c>
      <c r="D11" s="13">
        <f>COUNTIF('2016'!$B:$B,"*1A*")</f>
        <v>6</v>
      </c>
      <c r="E11" s="19"/>
      <c r="F11" s="13">
        <f>COUNTIF('2016'!$B:$B,"*3A*")</f>
        <v>19</v>
      </c>
      <c r="G11" s="20"/>
      <c r="H11" s="10">
        <f>COUNTIFS('2016'!B:B,"*1A*",'2016'!C:C,"Sim")</f>
        <v>6</v>
      </c>
      <c r="I11" s="10">
        <f>COUNTIFS('2016'!B:B,"*2A*",'2016'!C:C,"Sim")</f>
        <v>0</v>
      </c>
      <c r="J11" s="10">
        <f>COUNTIFS('2016'!B:B,"*3A*",'2016'!C:C,"Sim")</f>
        <v>0</v>
      </c>
    </row>
    <row r="12" spans="2:10" x14ac:dyDescent="0.3">
      <c r="B12" s="9">
        <v>2017</v>
      </c>
      <c r="C12" s="13">
        <v>15</v>
      </c>
      <c r="D12" s="13"/>
      <c r="E12" s="19"/>
      <c r="F12" s="13">
        <f>COUNTIF('2017'!$B:$B,"*3A*")</f>
        <v>15</v>
      </c>
      <c r="G12" s="20"/>
      <c r="H12" s="10">
        <f>COUNTIFS('2017'!B:B,"*1A*",'2017'!C:C,"Sim")</f>
        <v>0</v>
      </c>
      <c r="I12" s="10">
        <f>COUNTIFS('2017'!B:B,"*2A*",'2017'!C:C,"Sim")</f>
        <v>0</v>
      </c>
      <c r="J12" s="10">
        <f>COUNTIFS('2017'!B:B,"*3A*",'2017'!C:C,"Sim")</f>
        <v>0</v>
      </c>
    </row>
    <row r="13" spans="2:10" x14ac:dyDescent="0.3">
      <c r="B13" s="9" t="s">
        <v>8</v>
      </c>
      <c r="C13" s="13">
        <v>15</v>
      </c>
      <c r="D13" s="13">
        <f>COUNTIF('2018 N1'!$B:$B,"*1A*")</f>
        <v>6</v>
      </c>
      <c r="E13" s="19"/>
      <c r="F13" s="13">
        <f>COUNTIF('2018 N1'!$B:$B,"*3A*")</f>
        <v>9</v>
      </c>
      <c r="G13" s="20"/>
      <c r="H13" s="10">
        <f>COUNTIFS('2018 N1'!B:B,"*1A*",'2018 N1'!C:C,"Sim")</f>
        <v>6</v>
      </c>
      <c r="I13" s="10">
        <f>COUNTIFS('2018 N1'!B:B,"*2A*",'2018 N1'!C:C,"Sim")</f>
        <v>0</v>
      </c>
      <c r="J13" s="10">
        <f>COUNTIFS('2018 N1'!B:B,"*3A*",'2018 N1'!C:C,"Sim")</f>
        <v>0</v>
      </c>
    </row>
    <row r="14" spans="2:10" x14ac:dyDescent="0.3">
      <c r="B14" s="9" t="s">
        <v>9</v>
      </c>
      <c r="C14" s="13">
        <v>15</v>
      </c>
      <c r="D14" s="13">
        <f>COUNTIF('2018 N J'!$B:$B,"*1A*")</f>
        <v>6</v>
      </c>
      <c r="E14" s="19"/>
      <c r="F14" s="13">
        <f>COUNTIF('2018 N J'!$B:$B,"*3A*")</f>
        <v>9</v>
      </c>
      <c r="G14" s="20"/>
      <c r="H14" s="10">
        <f>COUNTIFS('2018 N J'!B:B,"*1A*",'2018 N J'!C:C,"Sim")</f>
        <v>6</v>
      </c>
      <c r="I14" s="10">
        <f>COUNTIFS('2018 N J'!B:B,"*2A*",'2018 N J'!C:C,"Sim")</f>
        <v>0</v>
      </c>
      <c r="J14" s="10">
        <f>COUNTIFS('2018 N J'!B:B,"*3A*",'2018 N J'!C:C,"Sim")</f>
        <v>0</v>
      </c>
    </row>
    <row r="15" spans="2:10" x14ac:dyDescent="0.3">
      <c r="B15" s="9" t="s">
        <v>10</v>
      </c>
      <c r="C15" s="13">
        <v>15</v>
      </c>
      <c r="D15" s="13">
        <f>COUNTIF('2019 N1'!$B:$B,"*1A*")</f>
        <v>4</v>
      </c>
      <c r="E15" s="19"/>
      <c r="F15" s="13">
        <f>COUNTIF('2019 N1'!$B:$B,"*3A*")</f>
        <v>11</v>
      </c>
      <c r="G15" s="20"/>
      <c r="H15" s="10">
        <f>COUNTIFS('2019 N1'!B:B,"*1A*",'2019 N1'!C:C,"Sim")</f>
        <v>4</v>
      </c>
      <c r="I15" s="10">
        <f>COUNTIFS('2019 N1'!B:B,"*2A*",'2019 N1'!C:C,"Sim")</f>
        <v>0</v>
      </c>
      <c r="J15" s="10">
        <f>COUNTIFS('2019 N1'!B:B,"*3A*",'2019 N1'!C:C,"Sim")</f>
        <v>0</v>
      </c>
    </row>
    <row r="16" spans="2:10" x14ac:dyDescent="0.3">
      <c r="B16" s="9" t="s">
        <v>11</v>
      </c>
      <c r="C16" s="13">
        <v>15</v>
      </c>
      <c r="D16" s="13">
        <f>COUNTIF('2019 N J'!$B:$B,"*1A*")</f>
        <v>5</v>
      </c>
      <c r="E16" s="19"/>
      <c r="F16" s="13">
        <f>COUNTIF('2019 N J'!$B:$B,"*3A*")</f>
        <v>10</v>
      </c>
      <c r="G16" s="20"/>
      <c r="H16" s="10">
        <f>COUNTIFS('2019 N J'!B:B,"*1A*",'2019 N J'!C:C,"Sim")</f>
        <v>5</v>
      </c>
      <c r="I16" s="10">
        <f>COUNTIFS('2019 N J'!B:B,"*2A*",'2019 N J'!C:C,"Sim")</f>
        <v>0</v>
      </c>
      <c r="J16" s="10">
        <f>COUNTIFS('2019 N J'!B:B,"*3A*",'2019 N J'!C:C,"Sim")</f>
        <v>3</v>
      </c>
    </row>
    <row r="17" spans="2:10" x14ac:dyDescent="0.3">
      <c r="B17" s="9" t="s">
        <v>12</v>
      </c>
      <c r="C17" s="13">
        <v>15</v>
      </c>
      <c r="D17" s="13">
        <f>COUNTIF('2020 N1 A'!$B:$B,"*1A*")</f>
        <v>3</v>
      </c>
      <c r="E17" s="19"/>
      <c r="F17" s="13">
        <f>COUNTIF('2020 N1 A'!$B:$B,"*3A*")</f>
        <v>12</v>
      </c>
      <c r="G17" s="20"/>
      <c r="H17" s="10">
        <f>COUNTIFS('2020 N1 A'!B:B,"*1A*",'2020 N1 A'!C:C,"Sim")</f>
        <v>3</v>
      </c>
      <c r="I17" s="10">
        <f>COUNTIFS('2020 N1 A'!B:B,"*2A*",'2020 N1 A'!C:C,"Sim")</f>
        <v>0</v>
      </c>
      <c r="J17" s="10">
        <f>COUNTIFS('2020 N1 A'!B:B,"*3A*",'2020 N1 A'!C:C,"Sim")</f>
        <v>0</v>
      </c>
    </row>
    <row r="18" spans="2:10" x14ac:dyDescent="0.3">
      <c r="B18" s="9" t="s">
        <v>13</v>
      </c>
      <c r="C18" s="13">
        <v>15</v>
      </c>
      <c r="D18" s="13">
        <f>COUNTIF('2020 N1 B'!$B:$B,"*1A*")</f>
        <v>6</v>
      </c>
      <c r="E18" s="19"/>
      <c r="F18" s="13">
        <f>COUNTIF('2020 N1 B'!$B:$B,"*3A*")</f>
        <v>9</v>
      </c>
      <c r="G18" s="20"/>
      <c r="H18" s="10">
        <f>COUNTIFS('2020 N1 B'!B:B,"*1A*",'2020 N1 B'!C:C,"Sim")</f>
        <v>6</v>
      </c>
      <c r="I18" s="10">
        <f>COUNTIFS('2020 N1 B'!B:B,"*2A*",'2020 N1 B'!C:C,"Sim")</f>
        <v>0</v>
      </c>
      <c r="J18" s="10">
        <f>COUNTIFS('2020 N1 B'!B:B,"*3A*",'2020 N1 B'!C:C,"Sim")</f>
        <v>0</v>
      </c>
    </row>
    <row r="19" spans="2:10" x14ac:dyDescent="0.3">
      <c r="B19" s="9" t="s">
        <v>14</v>
      </c>
      <c r="C19" s="13">
        <v>15</v>
      </c>
      <c r="D19" s="13">
        <f>COUNTIF('2020 J A'!$B:$B,"*1A*")</f>
        <v>5</v>
      </c>
      <c r="E19" s="19"/>
      <c r="F19" s="13">
        <f>COUNTIF('2020 J A'!$B:$B,"*3A*")</f>
        <v>10</v>
      </c>
      <c r="G19" s="20"/>
      <c r="H19" s="10">
        <f>COUNTIFS('2020 J A'!B:B,"*1A*",'2020 J A'!C:C,"Sim")</f>
        <v>5</v>
      </c>
      <c r="I19" s="10">
        <f>COUNTIFS('2020 J A'!B:B,"*2A*",'2020 J A'!C:C,"Sim")</f>
        <v>0</v>
      </c>
      <c r="J19" s="10">
        <f>COUNTIFS('2020 J A'!B:B,"*3A*",'2020 J A'!C:C,"Sim")</f>
        <v>0</v>
      </c>
    </row>
    <row r="20" spans="2:10" x14ac:dyDescent="0.3">
      <c r="B20" s="9" t="s">
        <v>15</v>
      </c>
      <c r="C20" s="13">
        <v>15</v>
      </c>
      <c r="D20" s="13">
        <f>COUNTIF('2020 J B'!$B:$B,"*1A*")</f>
        <v>6</v>
      </c>
      <c r="E20" s="19"/>
      <c r="F20" s="13">
        <f>COUNTIF('2020 J B'!$B:$B,"*3A*")</f>
        <v>9</v>
      </c>
      <c r="G20" s="20"/>
      <c r="H20" s="10">
        <f>COUNTIFS('2020 J B'!B:B,"*1A*",'2020 J B'!C:C,"Sim")</f>
        <v>6</v>
      </c>
      <c r="I20" s="10">
        <f>COUNTIFS('2020 J B'!B:B,"*2A*",'2020 J B'!C:C,"Sim")</f>
        <v>0</v>
      </c>
      <c r="J20" s="10">
        <f>COUNTIFS('2020 J B'!B:B,"*3A*",'2020 J B'!C:C,"Sim")</f>
        <v>0</v>
      </c>
    </row>
    <row r="21" spans="2:10" x14ac:dyDescent="0.3">
      <c r="B21" s="9" t="s">
        <v>16</v>
      </c>
      <c r="C21" s="13">
        <v>15</v>
      </c>
      <c r="D21" s="13"/>
      <c r="E21" s="19"/>
      <c r="F21" s="13">
        <f>COUNTIF('2021 N1'!$B:$B,"*3A*")</f>
        <v>15</v>
      </c>
      <c r="G21" s="20"/>
      <c r="H21" s="10">
        <f>COUNTIFS('2021 N1'!B:B,"*1A*",'2021 N1'!C:C,"Sim")</f>
        <v>0</v>
      </c>
      <c r="I21" s="10">
        <f>COUNTIFS('2021 N1'!B:B,"*2A*",'2021 N1'!C:C,"Sim")</f>
        <v>0</v>
      </c>
      <c r="J21" s="10">
        <f>COUNTIFS('2021 N1'!B:B,"*3A*",'2021 N1'!C:C,"Sim")</f>
        <v>0</v>
      </c>
    </row>
    <row r="22" spans="2:10" x14ac:dyDescent="0.3">
      <c r="B22" s="9" t="s">
        <v>17</v>
      </c>
      <c r="C22" s="13">
        <v>15</v>
      </c>
      <c r="D22" s="13">
        <f>COUNTIF('2021 NJ'!$B:$B,"*1A*")</f>
        <v>3</v>
      </c>
      <c r="E22" s="19"/>
      <c r="F22" s="13">
        <f>COUNTIF('2021 NJ'!$B:$B,"*3A*")</f>
        <v>12</v>
      </c>
      <c r="G22" s="20"/>
      <c r="H22" s="10">
        <f>COUNTIFS('2021 NJ'!B:B,"*1A*",'2021 NJ'!C:C,"Sim")</f>
        <v>3</v>
      </c>
      <c r="I22" s="10">
        <f>COUNTIFS('2021 NJ'!B:B,"*2A*",'2021 NJ'!C:C,"Sim")</f>
        <v>0</v>
      </c>
      <c r="J22" s="10">
        <f>COUNTIFS('2021 NJ'!B:B,"*3A*",'2021 NJ'!C:C,"Sim")</f>
        <v>0</v>
      </c>
    </row>
    <row r="23" spans="2:10" x14ac:dyDescent="0.3">
      <c r="B23" s="9" t="s">
        <v>18</v>
      </c>
      <c r="C23" s="13">
        <v>15</v>
      </c>
      <c r="D23" s="13">
        <f>COUNTIF('2022 N 1'!$B:$B,"*1A*")</f>
        <v>3</v>
      </c>
      <c r="E23" s="19"/>
      <c r="F23" s="13">
        <f>COUNTIF('2022 N 1'!$B:$B,"*3A*")</f>
        <v>12</v>
      </c>
      <c r="G23" s="20"/>
      <c r="H23" s="10">
        <f>COUNTIFS('2022 N 1'!B:B,"*1A*",'2022 N 1'!C:C,"Sim")</f>
        <v>3</v>
      </c>
      <c r="I23" s="10">
        <f>COUNTIFS('2022 N 1'!B:B,"*2A*",'2022 N 1'!C:C,"Sim")</f>
        <v>0</v>
      </c>
      <c r="J23" s="10">
        <f>COUNTIFS('2022 N 1'!B:B,"*3A*",'2022 N 1'!C:C,"Sim")</f>
        <v>2</v>
      </c>
    </row>
    <row r="24" spans="2:10" x14ac:dyDescent="0.3">
      <c r="B24" s="9" t="s">
        <v>19</v>
      </c>
      <c r="C24" s="13">
        <v>15</v>
      </c>
      <c r="D24" s="13">
        <f>COUNTIF('2022 N J'!$B:$B,"*1A*")</f>
        <v>2</v>
      </c>
      <c r="E24" s="19"/>
      <c r="F24" s="13">
        <f>COUNTIF('2022 N J'!$B:$B,"*3A*")</f>
        <v>13</v>
      </c>
      <c r="G24" s="20"/>
      <c r="H24" s="10">
        <f>COUNTIFS('2022 N J'!B:B,"*1A*",'2022 N J'!C:C,"Sim")</f>
        <v>2</v>
      </c>
      <c r="I24" s="10">
        <f>COUNTIFS('2022 N J'!B:B,"*2A*",'2022 N J'!C:C,"Sim")</f>
        <v>0</v>
      </c>
      <c r="J24" s="10">
        <f>COUNTIFS('2022 N J'!B:B,"*3A*",'2022 N J'!C:C,"Sim")</f>
        <v>7</v>
      </c>
    </row>
    <row r="25" spans="2:10" x14ac:dyDescent="0.3">
      <c r="B25" s="9" t="s">
        <v>20</v>
      </c>
      <c r="C25" s="13">
        <v>15</v>
      </c>
      <c r="D25" s="13">
        <f>COUNTIF('2023 N1'!$B:$B,"*1A*")</f>
        <v>1</v>
      </c>
      <c r="E25" s="19"/>
      <c r="F25" s="13">
        <f>COUNTIF('2023 N1'!$B:$B,"*3A*")</f>
        <v>14</v>
      </c>
      <c r="G25" s="20"/>
      <c r="H25" s="10">
        <f>COUNTIFS('2023 N1'!B:B,"*1A*",'2023 N1'!C:C,"Sim")</f>
        <v>1</v>
      </c>
      <c r="I25" s="10">
        <f>COUNTIFS('2023 N1'!B:B,"*2A*",'2023 N1'!C:C,"Sim")</f>
        <v>0</v>
      </c>
      <c r="J25" s="10">
        <f>COUNTIFS('2023 N1'!B:B,"*3A*",'2023 N1'!C:C,"Sim")</f>
        <v>0</v>
      </c>
    </row>
    <row r="26" spans="2:10" x14ac:dyDescent="0.3">
      <c r="B26" s="11" t="s">
        <v>21</v>
      </c>
      <c r="C26" s="13">
        <v>15</v>
      </c>
      <c r="D26" s="13">
        <f>COUNTIF('2023 NJ'!$B:$B,"*1A*")</f>
        <v>1</v>
      </c>
      <c r="E26" s="19"/>
      <c r="F26" s="13">
        <f>COUNTIF('2023 NJ'!$B:$B,"*3A*")</f>
        <v>14</v>
      </c>
      <c r="G26" s="21"/>
      <c r="H26" s="10">
        <f>COUNTIFS('2023 NJ'!B:B,"*1A*",'2023 NJ'!C:C,"Sim")</f>
        <v>1</v>
      </c>
      <c r="I26" s="10">
        <f>COUNTIFS('2023 NJ'!B:B,"*2A*",'2023 NJ'!C:C,"Sim")</f>
        <v>0</v>
      </c>
      <c r="J26" s="10">
        <f>COUNTIFS('2023 NJ'!B:B,"*3A*",'2023 NJ'!C:C,"Sim")</f>
        <v>0</v>
      </c>
    </row>
    <row r="27" spans="2:10" x14ac:dyDescent="0.3">
      <c r="B27" s="9" t="s">
        <v>22</v>
      </c>
      <c r="C27" s="13">
        <v>15</v>
      </c>
      <c r="D27" s="13">
        <f>COUNTIF('2024 N1'!$B:$B,"*1A*")</f>
        <v>5</v>
      </c>
      <c r="E27" s="19">
        <f>COUNTIF('2024 N1'!$B:$B,"*2A*")</f>
        <v>0</v>
      </c>
      <c r="F27" s="13">
        <f>COUNTIF('2024 N1'!$B:$B,"*3A*")</f>
        <v>10</v>
      </c>
      <c r="G27" s="20"/>
      <c r="H27" s="10">
        <f>COUNTIFS('2024 N1'!B:B,"*1A*",'2024 N1'!C:C,"Sim")</f>
        <v>5</v>
      </c>
      <c r="I27" s="10">
        <f>COUNTIFS('2024 N1'!B:B,"*2A*",'2024 N1'!C:C,"Sim")</f>
        <v>0</v>
      </c>
      <c r="J27" s="10">
        <f>COUNTIFS('2024 N1'!B:B,"*3A*",'2024 N1'!C:C,"Sim")</f>
        <v>0</v>
      </c>
    </row>
    <row r="28" spans="2:10" x14ac:dyDescent="0.3">
      <c r="B28" s="9" t="s">
        <v>23</v>
      </c>
      <c r="C28" s="13">
        <v>15</v>
      </c>
      <c r="D28" s="13">
        <f>COUNTIF('2024 NJ'!$B:$B,"*1A*")</f>
        <v>6</v>
      </c>
      <c r="E28" s="19"/>
      <c r="F28" s="13">
        <f>COUNTIF('2024 NJ'!$B:$B,"*3A*")</f>
        <v>9</v>
      </c>
      <c r="G28" s="20"/>
      <c r="H28" s="10">
        <f>COUNTIFS('2024 NJ'!B:B,"*1A*",'2024 NJ'!C:C,"Sim")</f>
        <v>6</v>
      </c>
      <c r="I28" s="10">
        <f>COUNTIFS('2024 NJ'!B:B,"*2A*",'2024 NJ'!C:C,"Sim")</f>
        <v>0</v>
      </c>
      <c r="J28" s="10">
        <f>COUNTIFS('2024 NJ'!B:B,"*3A*",'2024 NJ'!C:C,"Sim")</f>
        <v>4</v>
      </c>
    </row>
    <row r="29" spans="2:10" x14ac:dyDescent="0.3">
      <c r="B29" s="10" t="s">
        <v>25</v>
      </c>
      <c r="C29" s="12">
        <f>SUM(C3:C28)</f>
        <v>450</v>
      </c>
      <c r="D29" s="12">
        <f t="shared" ref="D29:F29" si="0">SUM(D3:D28)</f>
        <v>80</v>
      </c>
      <c r="E29" s="17">
        <f t="shared" si="0"/>
        <v>0</v>
      </c>
      <c r="F29" s="12">
        <f t="shared" si="0"/>
        <v>370</v>
      </c>
      <c r="H29" s="10">
        <f>SUM(H3:H28)</f>
        <v>80</v>
      </c>
      <c r="I29" s="10">
        <f t="shared" ref="I29:J29" si="1">SUM(I3:I28)</f>
        <v>0</v>
      </c>
      <c r="J29" s="10">
        <f t="shared" si="1"/>
        <v>22</v>
      </c>
    </row>
    <row r="30" spans="2:10" x14ac:dyDescent="0.3">
      <c r="B30" s="5" t="s">
        <v>26</v>
      </c>
      <c r="C30" s="14">
        <f>(100*C29)/C29</f>
        <v>100</v>
      </c>
      <c r="D30" s="14">
        <f>(100*D29)/C29</f>
        <v>17.777777777777779</v>
      </c>
      <c r="E30" s="14">
        <f>(100*E29)/C29</f>
        <v>0</v>
      </c>
      <c r="F30" s="14">
        <f>(100*F29)/C29</f>
        <v>82.222222222222229</v>
      </c>
      <c r="H30" s="5">
        <f>(H29*100)/D29</f>
        <v>100</v>
      </c>
      <c r="I30" s="5">
        <v>0</v>
      </c>
      <c r="J30" s="5">
        <f>(J29*100)/F29</f>
        <v>5.9459459459459456</v>
      </c>
    </row>
    <row r="31" spans="2:10" x14ac:dyDescent="0.3"/>
    <row r="32" spans="2:10" x14ac:dyDescent="0.3"/>
    <row r="33" spans="3:3" x14ac:dyDescent="0.3"/>
    <row r="34" spans="3:3" x14ac:dyDescent="0.3"/>
    <row r="35" spans="3:3" hidden="1" x14ac:dyDescent="0.3">
      <c r="C35" s="5"/>
    </row>
    <row r="36" spans="3:3" hidden="1" x14ac:dyDescent="0.3">
      <c r="C36" s="5"/>
    </row>
    <row r="37" spans="3:3" hidden="1" x14ac:dyDescent="0.3">
      <c r="C37" s="5"/>
    </row>
    <row r="38" spans="3:3" hidden="1" x14ac:dyDescent="0.3">
      <c r="C38" s="5"/>
    </row>
    <row r="39" spans="3:3" hidden="1" x14ac:dyDescent="0.3">
      <c r="C39" s="5"/>
    </row>
    <row r="40" spans="3:3" hidden="1" x14ac:dyDescent="0.3">
      <c r="C40" s="5"/>
    </row>
    <row r="41" spans="3:3" hidden="1" x14ac:dyDescent="0.3">
      <c r="C41" s="5"/>
    </row>
    <row r="42" spans="3:3" hidden="1" x14ac:dyDescent="0.3">
      <c r="C42" s="5"/>
    </row>
    <row r="43" spans="3:3" hidden="1" x14ac:dyDescent="0.3">
      <c r="C43" s="5"/>
    </row>
    <row r="44" spans="3:3" hidden="1" x14ac:dyDescent="0.3">
      <c r="C44" s="5"/>
    </row>
    <row r="45" spans="3:3" hidden="1" x14ac:dyDescent="0.3">
      <c r="C45" s="5"/>
    </row>
    <row r="46" spans="3:3" hidden="1" x14ac:dyDescent="0.3">
      <c r="C46" s="5"/>
    </row>
    <row r="47" spans="3:3" hidden="1" x14ac:dyDescent="0.3">
      <c r="C47" s="5"/>
    </row>
    <row r="48" spans="3:3" hidden="1" x14ac:dyDescent="0.3">
      <c r="C48" s="5"/>
    </row>
    <row r="49" spans="3:3" hidden="1" x14ac:dyDescent="0.3">
      <c r="C49" s="5"/>
    </row>
    <row r="50" spans="3:3" hidden="1" x14ac:dyDescent="0.3">
      <c r="C50" s="5"/>
    </row>
    <row r="51" spans="3:3" hidden="1" x14ac:dyDescent="0.3">
      <c r="C51" s="5"/>
    </row>
    <row r="52" spans="3:3" hidden="1" x14ac:dyDescent="0.3">
      <c r="C52" s="5"/>
    </row>
    <row r="53" spans="3:3" hidden="1" x14ac:dyDescent="0.3">
      <c r="C53" s="5"/>
    </row>
    <row r="54" spans="3:3" hidden="1" x14ac:dyDescent="0.3">
      <c r="C54" s="5"/>
    </row>
    <row r="55" spans="3:3" hidden="1" x14ac:dyDescent="0.3">
      <c r="C55" s="5"/>
    </row>
    <row r="56" spans="3:3" hidden="1" x14ac:dyDescent="0.3">
      <c r="C56" s="5"/>
    </row>
    <row r="57" spans="3:3" hidden="1" x14ac:dyDescent="0.3">
      <c r="C57" s="5"/>
    </row>
    <row r="58" spans="3:3" hidden="1" x14ac:dyDescent="0.3">
      <c r="C58" s="5"/>
    </row>
    <row r="59" spans="3:3" hidden="1" x14ac:dyDescent="0.3">
      <c r="C59" s="5"/>
    </row>
    <row r="60" spans="3:3" hidden="1" x14ac:dyDescent="0.3">
      <c r="C60" s="5"/>
    </row>
    <row r="61" spans="3:3" hidden="1" x14ac:dyDescent="0.3">
      <c r="C61" s="5"/>
    </row>
    <row r="62" spans="3:3" hidden="1" x14ac:dyDescent="0.3">
      <c r="C62" s="5"/>
    </row>
    <row r="63" spans="3:3" hidden="1" x14ac:dyDescent="0.3">
      <c r="C63" s="5"/>
    </row>
    <row r="64" spans="3:3" hidden="1" x14ac:dyDescent="0.3">
      <c r="C64" s="5"/>
    </row>
  </sheetData>
  <mergeCells count="2">
    <mergeCell ref="H1:J1"/>
    <mergeCell ref="D1:F1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D3BE1-C84F-4C86-AEE8-F3BC28FB6114}">
  <dimension ref="B1:H30"/>
  <sheetViews>
    <sheetView zoomScale="115" zoomScaleNormal="115" workbookViewId="0">
      <selection activeCell="A31" sqref="A31:XFD1048576"/>
    </sheetView>
  </sheetViews>
  <sheetFormatPr defaultColWidth="0" defaultRowHeight="14.4" zeroHeight="1" x14ac:dyDescent="0.3"/>
  <cols>
    <col min="1" max="1" width="8.796875" customWidth="1"/>
    <col min="2" max="2" width="20.59765625" bestFit="1" customWidth="1"/>
    <col min="3" max="3" width="20.59765625" customWidth="1"/>
    <col min="4" max="4" width="20.59765625" bestFit="1" customWidth="1"/>
    <col min="5" max="5" width="13" bestFit="1" customWidth="1"/>
    <col min="6" max="6" width="20.59765625" bestFit="1" customWidth="1"/>
    <col min="7" max="7" width="13" customWidth="1"/>
    <col min="8" max="8" width="20.59765625" bestFit="1" customWidth="1"/>
    <col min="9" max="14" width="8.796875" customWidth="1"/>
    <col min="15" max="16384" width="8.796875" hidden="1"/>
  </cols>
  <sheetData>
    <row r="1" spans="2:6" x14ac:dyDescent="0.3">
      <c r="D1" s="26" t="s">
        <v>32</v>
      </c>
      <c r="E1" s="26"/>
      <c r="F1" s="26"/>
    </row>
    <row r="2" spans="2:6" x14ac:dyDescent="0.3">
      <c r="D2" s="26"/>
      <c r="E2" s="26"/>
      <c r="F2" s="26"/>
    </row>
    <row r="3" spans="2:6" x14ac:dyDescent="0.3">
      <c r="B3" s="10" t="s">
        <v>4</v>
      </c>
      <c r="C3" s="12" t="s">
        <v>24</v>
      </c>
      <c r="D3" t="s">
        <v>5</v>
      </c>
      <c r="E3" t="s">
        <v>6</v>
      </c>
      <c r="F3" t="s">
        <v>7</v>
      </c>
    </row>
    <row r="4" spans="2:6" x14ac:dyDescent="0.3">
      <c r="B4" s="9">
        <v>2008</v>
      </c>
      <c r="C4" s="13">
        <v>20</v>
      </c>
    </row>
    <row r="5" spans="2:6" x14ac:dyDescent="0.3">
      <c r="B5" s="9">
        <v>2009</v>
      </c>
      <c r="C5" s="13">
        <v>20</v>
      </c>
    </row>
    <row r="6" spans="2:6" x14ac:dyDescent="0.3">
      <c r="B6" s="9">
        <v>2010</v>
      </c>
      <c r="C6" s="13">
        <v>20</v>
      </c>
    </row>
    <row r="7" spans="2:6" x14ac:dyDescent="0.3">
      <c r="B7" s="9">
        <v>2011</v>
      </c>
      <c r="C7" s="13">
        <v>20</v>
      </c>
      <c r="F7">
        <v>5</v>
      </c>
    </row>
    <row r="8" spans="2:6" x14ac:dyDescent="0.3">
      <c r="B8" s="9">
        <v>2012</v>
      </c>
      <c r="C8" s="13">
        <v>20</v>
      </c>
      <c r="D8">
        <v>5</v>
      </c>
    </row>
    <row r="9" spans="2:6" x14ac:dyDescent="0.3">
      <c r="B9" s="9">
        <v>2013</v>
      </c>
      <c r="C9" s="13">
        <v>20</v>
      </c>
    </row>
    <row r="10" spans="2:6" x14ac:dyDescent="0.3">
      <c r="B10" s="9">
        <v>2014</v>
      </c>
      <c r="C10" s="13">
        <v>25</v>
      </c>
      <c r="D10">
        <v>3</v>
      </c>
    </row>
    <row r="11" spans="2:6" x14ac:dyDescent="0.3">
      <c r="B11" s="9">
        <v>2015</v>
      </c>
      <c r="C11" s="13">
        <v>25</v>
      </c>
      <c r="D11">
        <v>4</v>
      </c>
      <c r="F11">
        <v>1</v>
      </c>
    </row>
    <row r="12" spans="2:6" x14ac:dyDescent="0.3">
      <c r="B12" s="9">
        <v>2016</v>
      </c>
      <c r="C12" s="13">
        <v>25</v>
      </c>
      <c r="D12">
        <v>6</v>
      </c>
    </row>
    <row r="13" spans="2:6" x14ac:dyDescent="0.3">
      <c r="B13" s="9">
        <v>2017</v>
      </c>
      <c r="C13" s="13">
        <v>15</v>
      </c>
    </row>
    <row r="14" spans="2:6" x14ac:dyDescent="0.3">
      <c r="B14" s="9" t="s">
        <v>8</v>
      </c>
      <c r="C14" s="13">
        <v>15</v>
      </c>
      <c r="D14">
        <v>6</v>
      </c>
    </row>
    <row r="15" spans="2:6" x14ac:dyDescent="0.3">
      <c r="B15" s="9" t="s">
        <v>9</v>
      </c>
      <c r="C15" s="13">
        <v>15</v>
      </c>
      <c r="D15">
        <v>6</v>
      </c>
    </row>
    <row r="16" spans="2:6" x14ac:dyDescent="0.3">
      <c r="B16" s="9" t="s">
        <v>10</v>
      </c>
      <c r="C16" s="13">
        <v>15</v>
      </c>
      <c r="D16">
        <v>4</v>
      </c>
    </row>
    <row r="17" spans="2:6" x14ac:dyDescent="0.3">
      <c r="B17" s="9" t="s">
        <v>11</v>
      </c>
      <c r="C17" s="13">
        <v>15</v>
      </c>
      <c r="D17">
        <v>5</v>
      </c>
      <c r="F17">
        <v>3</v>
      </c>
    </row>
    <row r="18" spans="2:6" x14ac:dyDescent="0.3">
      <c r="B18" s="9" t="s">
        <v>12</v>
      </c>
      <c r="C18" s="13">
        <v>15</v>
      </c>
      <c r="D18">
        <v>3</v>
      </c>
    </row>
    <row r="19" spans="2:6" x14ac:dyDescent="0.3">
      <c r="B19" s="9" t="s">
        <v>13</v>
      </c>
      <c r="C19" s="13">
        <v>15</v>
      </c>
      <c r="D19">
        <v>6</v>
      </c>
    </row>
    <row r="20" spans="2:6" x14ac:dyDescent="0.3">
      <c r="B20" s="9" t="s">
        <v>14</v>
      </c>
      <c r="C20" s="13">
        <v>15</v>
      </c>
      <c r="D20">
        <v>5</v>
      </c>
    </row>
    <row r="21" spans="2:6" x14ac:dyDescent="0.3">
      <c r="B21" s="9" t="s">
        <v>15</v>
      </c>
      <c r="C21" s="13">
        <v>15</v>
      </c>
      <c r="D21">
        <v>6</v>
      </c>
    </row>
    <row r="22" spans="2:6" x14ac:dyDescent="0.3">
      <c r="B22" s="9" t="s">
        <v>16</v>
      </c>
      <c r="C22" s="13">
        <v>15</v>
      </c>
    </row>
    <row r="23" spans="2:6" x14ac:dyDescent="0.3">
      <c r="B23" s="9" t="s">
        <v>17</v>
      </c>
      <c r="C23" s="13">
        <v>15</v>
      </c>
      <c r="D23">
        <v>3</v>
      </c>
    </row>
    <row r="24" spans="2:6" x14ac:dyDescent="0.3">
      <c r="B24" s="9" t="s">
        <v>18</v>
      </c>
      <c r="C24" s="13">
        <v>15</v>
      </c>
      <c r="D24">
        <v>3</v>
      </c>
      <c r="F24">
        <v>2</v>
      </c>
    </row>
    <row r="25" spans="2:6" x14ac:dyDescent="0.3">
      <c r="B25" s="9" t="s">
        <v>19</v>
      </c>
      <c r="C25" s="13">
        <v>15</v>
      </c>
      <c r="D25">
        <v>2</v>
      </c>
      <c r="F25">
        <v>7</v>
      </c>
    </row>
    <row r="26" spans="2:6" x14ac:dyDescent="0.3">
      <c r="B26" s="9" t="s">
        <v>20</v>
      </c>
      <c r="C26" s="13">
        <v>15</v>
      </c>
      <c r="D26">
        <v>1</v>
      </c>
    </row>
    <row r="27" spans="2:6" x14ac:dyDescent="0.3">
      <c r="B27" s="11" t="s">
        <v>21</v>
      </c>
      <c r="C27" s="13">
        <v>15</v>
      </c>
      <c r="D27">
        <v>1</v>
      </c>
    </row>
    <row r="28" spans="2:6" x14ac:dyDescent="0.3">
      <c r="B28" s="9" t="s">
        <v>22</v>
      </c>
      <c r="C28" s="13">
        <v>15</v>
      </c>
      <c r="D28">
        <v>5</v>
      </c>
    </row>
    <row r="29" spans="2:6" x14ac:dyDescent="0.3">
      <c r="B29" s="9" t="s">
        <v>23</v>
      </c>
      <c r="C29" s="13">
        <v>15</v>
      </c>
      <c r="D29">
        <v>6</v>
      </c>
      <c r="F29">
        <v>4</v>
      </c>
    </row>
    <row r="30" spans="2:6" x14ac:dyDescent="0.3">
      <c r="D30">
        <f>SUM(D4:D29)</f>
        <v>80</v>
      </c>
      <c r="F30">
        <f t="shared" ref="F30" si="0">SUM(F4:F29)</f>
        <v>22</v>
      </c>
    </row>
  </sheetData>
  <mergeCells count="2">
    <mergeCell ref="D2:F2"/>
    <mergeCell ref="D1:F1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4A318-183E-45F7-9EEF-D95FF6B63867}">
  <dimension ref="A1:C68"/>
  <sheetViews>
    <sheetView tabSelected="1" zoomScale="190" zoomScaleNormal="190" workbookViewId="0">
      <selection activeCell="A23" sqref="A23:XFD1048576"/>
    </sheetView>
  </sheetViews>
  <sheetFormatPr defaultColWidth="0" defaultRowHeight="14.4" zeroHeight="1" x14ac:dyDescent="0.3"/>
  <cols>
    <col min="1" max="1" width="8.796875" customWidth="1"/>
    <col min="2" max="2" width="53" customWidth="1"/>
    <col min="3" max="3" width="17.19921875" customWidth="1"/>
    <col min="4" max="16384" width="8.796875" hidden="1"/>
  </cols>
  <sheetData>
    <row r="1" spans="1:3" x14ac:dyDescent="0.3">
      <c r="A1" s="1" t="s">
        <v>2</v>
      </c>
      <c r="B1" s="1" t="s">
        <v>3</v>
      </c>
      <c r="C1" s="1" t="s">
        <v>27</v>
      </c>
    </row>
    <row r="2" spans="1:3" x14ac:dyDescent="0.3">
      <c r="A2" s="2">
        <v>1</v>
      </c>
      <c r="B2" s="3" t="s">
        <v>0</v>
      </c>
      <c r="C2" s="2" t="s">
        <v>28</v>
      </c>
    </row>
    <row r="3" spans="1:3" x14ac:dyDescent="0.3">
      <c r="A3" s="2">
        <v>2</v>
      </c>
      <c r="B3" s="3" t="s">
        <v>0</v>
      </c>
      <c r="C3" s="2" t="s">
        <v>28</v>
      </c>
    </row>
    <row r="4" spans="1:3" x14ac:dyDescent="0.3">
      <c r="A4" s="2">
        <v>3</v>
      </c>
      <c r="B4" s="3" t="s">
        <v>0</v>
      </c>
      <c r="C4" s="2" t="s">
        <v>28</v>
      </c>
    </row>
    <row r="5" spans="1:3" x14ac:dyDescent="0.3">
      <c r="A5" s="2">
        <v>4</v>
      </c>
      <c r="B5" s="3" t="s">
        <v>0</v>
      </c>
      <c r="C5" s="2" t="s">
        <v>28</v>
      </c>
    </row>
    <row r="6" spans="1:3" x14ac:dyDescent="0.3">
      <c r="A6" s="2">
        <v>5</v>
      </c>
      <c r="B6" s="3" t="s">
        <v>0</v>
      </c>
      <c r="C6" s="2" t="s">
        <v>28</v>
      </c>
    </row>
    <row r="7" spans="1:3" x14ac:dyDescent="0.3">
      <c r="A7" s="2">
        <v>6</v>
      </c>
      <c r="B7" s="3" t="s">
        <v>0</v>
      </c>
      <c r="C7" s="2" t="s">
        <v>28</v>
      </c>
    </row>
    <row r="8" spans="1:3" x14ac:dyDescent="0.3">
      <c r="A8" s="2">
        <v>7</v>
      </c>
      <c r="B8" s="3" t="s">
        <v>0</v>
      </c>
      <c r="C8" s="2" t="s">
        <v>28</v>
      </c>
    </row>
    <row r="9" spans="1:3" x14ac:dyDescent="0.3">
      <c r="A9" s="2">
        <v>8</v>
      </c>
      <c r="B9" s="3" t="s">
        <v>0</v>
      </c>
      <c r="C9" s="2" t="s">
        <v>28</v>
      </c>
    </row>
    <row r="10" spans="1:3" x14ac:dyDescent="0.3">
      <c r="A10" s="2">
        <v>9</v>
      </c>
      <c r="B10" s="3" t="s">
        <v>0</v>
      </c>
      <c r="C10" s="2" t="s">
        <v>28</v>
      </c>
    </row>
    <row r="11" spans="1:3" x14ac:dyDescent="0.3">
      <c r="A11" s="2">
        <v>10</v>
      </c>
      <c r="B11" s="3" t="s">
        <v>0</v>
      </c>
      <c r="C11" s="2" t="s">
        <v>28</v>
      </c>
    </row>
    <row r="12" spans="1:3" x14ac:dyDescent="0.3">
      <c r="A12" s="2">
        <v>11</v>
      </c>
      <c r="B12" s="3" t="s">
        <v>0</v>
      </c>
      <c r="C12" s="2" t="s">
        <v>28</v>
      </c>
    </row>
    <row r="13" spans="1:3" x14ac:dyDescent="0.3">
      <c r="A13" s="2">
        <v>12</v>
      </c>
      <c r="B13" s="3" t="s">
        <v>0</v>
      </c>
      <c r="C13" s="2" t="s">
        <v>28</v>
      </c>
    </row>
    <row r="14" spans="1:3" x14ac:dyDescent="0.3">
      <c r="A14" s="2">
        <v>13</v>
      </c>
      <c r="B14" s="3" t="s">
        <v>0</v>
      </c>
      <c r="C14" s="2" t="s">
        <v>28</v>
      </c>
    </row>
    <row r="15" spans="1:3" x14ac:dyDescent="0.3">
      <c r="A15" s="2">
        <v>14</v>
      </c>
      <c r="B15" s="3" t="s">
        <v>0</v>
      </c>
      <c r="C15" s="2" t="s">
        <v>28</v>
      </c>
    </row>
    <row r="16" spans="1:3" x14ac:dyDescent="0.3">
      <c r="A16" s="2">
        <v>15</v>
      </c>
      <c r="B16" s="3" t="s">
        <v>0</v>
      </c>
      <c r="C16" s="2" t="s">
        <v>28</v>
      </c>
    </row>
    <row r="17" spans="1:3" x14ac:dyDescent="0.3">
      <c r="A17" s="2">
        <v>16</v>
      </c>
      <c r="B17" s="3" t="s">
        <v>0</v>
      </c>
      <c r="C17" s="2" t="s">
        <v>28</v>
      </c>
    </row>
    <row r="18" spans="1:3" x14ac:dyDescent="0.3">
      <c r="A18" s="2">
        <v>17</v>
      </c>
      <c r="B18" s="3" t="s">
        <v>0</v>
      </c>
      <c r="C18" s="2" t="s">
        <v>28</v>
      </c>
    </row>
    <row r="19" spans="1:3" x14ac:dyDescent="0.3">
      <c r="A19" s="2">
        <v>18</v>
      </c>
      <c r="B19" s="3" t="s">
        <v>0</v>
      </c>
      <c r="C19" s="2" t="s">
        <v>28</v>
      </c>
    </row>
    <row r="20" spans="1:3" x14ac:dyDescent="0.3">
      <c r="A20" s="2">
        <v>19</v>
      </c>
      <c r="B20" s="3" t="s">
        <v>0</v>
      </c>
      <c r="C20" s="2" t="s">
        <v>28</v>
      </c>
    </row>
    <row r="21" spans="1:3" x14ac:dyDescent="0.3">
      <c r="A21" s="2">
        <v>20</v>
      </c>
      <c r="B21" s="3" t="s">
        <v>0</v>
      </c>
      <c r="C21" s="2" t="s">
        <v>28</v>
      </c>
    </row>
    <row r="22" spans="1:3" x14ac:dyDescent="0.3"/>
    <row r="26" spans="1:3" hidden="1" x14ac:dyDescent="0.3">
      <c r="A26" s="26"/>
      <c r="B26" s="26"/>
      <c r="C26" s="26"/>
    </row>
    <row r="62" spans="1:1" hidden="1" x14ac:dyDescent="0.3">
      <c r="A62" s="2"/>
    </row>
    <row r="63" spans="1:1" hidden="1" x14ac:dyDescent="0.3">
      <c r="A63" s="2"/>
    </row>
    <row r="64" spans="1:1" hidden="1" x14ac:dyDescent="0.3">
      <c r="A64" s="2"/>
    </row>
    <row r="65" spans="1:1" hidden="1" x14ac:dyDescent="0.3">
      <c r="A65" s="2"/>
    </row>
    <row r="66" spans="1:1" hidden="1" x14ac:dyDescent="0.3">
      <c r="A66" s="2"/>
    </row>
    <row r="67" spans="1:1" hidden="1" x14ac:dyDescent="0.3">
      <c r="A67" s="2"/>
    </row>
    <row r="68" spans="1:1" hidden="1" x14ac:dyDescent="0.3">
      <c r="A68" s="2"/>
    </row>
  </sheetData>
  <mergeCells count="1">
    <mergeCell ref="A26:C26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C9CB7-2AFB-4DD9-9570-A1DB148C9A32}">
  <dimension ref="A1:C70"/>
  <sheetViews>
    <sheetView topLeftCell="A8" zoomScale="130" zoomScaleNormal="130" workbookViewId="0">
      <selection activeCell="A23" sqref="A23:XFD1048576"/>
    </sheetView>
  </sheetViews>
  <sheetFormatPr defaultColWidth="0" defaultRowHeight="14.4" zeroHeight="1" x14ac:dyDescent="0.3"/>
  <cols>
    <col min="1" max="1" width="8.796875" customWidth="1"/>
    <col min="2" max="2" width="140.3984375" bestFit="1" customWidth="1"/>
    <col min="3" max="3" width="15.5" bestFit="1" customWidth="1"/>
    <col min="4" max="16384" width="8.796875" hidden="1"/>
  </cols>
  <sheetData>
    <row r="1" spans="1:3" x14ac:dyDescent="0.3">
      <c r="A1" s="1" t="s">
        <v>2</v>
      </c>
      <c r="B1" s="1" t="s">
        <v>3</v>
      </c>
      <c r="C1" s="1" t="s">
        <v>27</v>
      </c>
    </row>
    <row r="2" spans="1:3" x14ac:dyDescent="0.3">
      <c r="A2" s="3">
        <v>1</v>
      </c>
      <c r="B2" s="2" t="s">
        <v>0</v>
      </c>
      <c r="C2" s="2" t="s">
        <v>28</v>
      </c>
    </row>
    <row r="3" spans="1:3" x14ac:dyDescent="0.3">
      <c r="A3" s="3">
        <v>2</v>
      </c>
      <c r="B3" s="2" t="s">
        <v>0</v>
      </c>
      <c r="C3" s="2" t="s">
        <v>28</v>
      </c>
    </row>
    <row r="4" spans="1:3" x14ac:dyDescent="0.3">
      <c r="A4" s="3">
        <v>3</v>
      </c>
      <c r="B4" s="2" t="s">
        <v>0</v>
      </c>
      <c r="C4" s="2" t="s">
        <v>28</v>
      </c>
    </row>
    <row r="5" spans="1:3" x14ac:dyDescent="0.3">
      <c r="A5" s="3">
        <v>4</v>
      </c>
      <c r="B5" s="2" t="s">
        <v>0</v>
      </c>
      <c r="C5" s="2" t="s">
        <v>28</v>
      </c>
    </row>
    <row r="6" spans="1:3" x14ac:dyDescent="0.3">
      <c r="A6" s="3">
        <v>5</v>
      </c>
      <c r="B6" s="2" t="s">
        <v>0</v>
      </c>
      <c r="C6" s="2" t="s">
        <v>28</v>
      </c>
    </row>
    <row r="7" spans="1:3" x14ac:dyDescent="0.3">
      <c r="A7" s="3">
        <v>6</v>
      </c>
      <c r="B7" s="2" t="s">
        <v>0</v>
      </c>
      <c r="C7" s="2" t="s">
        <v>28</v>
      </c>
    </row>
    <row r="8" spans="1:3" x14ac:dyDescent="0.3">
      <c r="A8" s="3">
        <v>7</v>
      </c>
      <c r="B8" s="2" t="s">
        <v>0</v>
      </c>
      <c r="C8" s="2" t="s">
        <v>28</v>
      </c>
    </row>
    <row r="9" spans="1:3" x14ac:dyDescent="0.3">
      <c r="A9" s="3">
        <v>8</v>
      </c>
      <c r="B9" s="2" t="s">
        <v>0</v>
      </c>
      <c r="C9" s="2" t="s">
        <v>28</v>
      </c>
    </row>
    <row r="10" spans="1:3" x14ac:dyDescent="0.3">
      <c r="A10" s="3">
        <v>9</v>
      </c>
      <c r="B10" s="2" t="s">
        <v>0</v>
      </c>
      <c r="C10" s="2" t="s">
        <v>28</v>
      </c>
    </row>
    <row r="11" spans="1:3" x14ac:dyDescent="0.3">
      <c r="A11" s="3">
        <v>10</v>
      </c>
      <c r="B11" s="2" t="s">
        <v>0</v>
      </c>
      <c r="C11" s="2" t="s">
        <v>28</v>
      </c>
    </row>
    <row r="12" spans="1:3" x14ac:dyDescent="0.3">
      <c r="A12" s="3">
        <v>11</v>
      </c>
      <c r="B12" s="2" t="s">
        <v>0</v>
      </c>
      <c r="C12" s="2" t="s">
        <v>28</v>
      </c>
    </row>
    <row r="13" spans="1:3" x14ac:dyDescent="0.3">
      <c r="A13" s="3">
        <v>12</v>
      </c>
      <c r="B13" s="2" t="s">
        <v>0</v>
      </c>
      <c r="C13" s="2" t="s">
        <v>28</v>
      </c>
    </row>
    <row r="14" spans="1:3" x14ac:dyDescent="0.3">
      <c r="A14" s="3">
        <v>13</v>
      </c>
      <c r="B14" s="2" t="s">
        <v>0</v>
      </c>
      <c r="C14" s="2" t="s">
        <v>28</v>
      </c>
    </row>
    <row r="15" spans="1:3" x14ac:dyDescent="0.3">
      <c r="A15" s="3">
        <v>14</v>
      </c>
      <c r="B15" s="2" t="s">
        <v>0</v>
      </c>
      <c r="C15" s="2" t="s">
        <v>28</v>
      </c>
    </row>
    <row r="16" spans="1:3" x14ac:dyDescent="0.3">
      <c r="A16" s="3">
        <v>15</v>
      </c>
      <c r="B16" s="2" t="s">
        <v>0</v>
      </c>
      <c r="C16" s="2" t="s">
        <v>28</v>
      </c>
    </row>
    <row r="17" spans="1:3" x14ac:dyDescent="0.3">
      <c r="A17" s="3">
        <v>16</v>
      </c>
      <c r="B17" s="2" t="s">
        <v>0</v>
      </c>
      <c r="C17" s="2" t="s">
        <v>28</v>
      </c>
    </row>
    <row r="18" spans="1:3" x14ac:dyDescent="0.3">
      <c r="A18" s="3">
        <v>17</v>
      </c>
      <c r="B18" s="2" t="s">
        <v>0</v>
      </c>
      <c r="C18" s="2" t="s">
        <v>28</v>
      </c>
    </row>
    <row r="19" spans="1:3" x14ac:dyDescent="0.3">
      <c r="A19" s="3">
        <v>18</v>
      </c>
      <c r="B19" s="2" t="s">
        <v>0</v>
      </c>
      <c r="C19" s="2" t="s">
        <v>28</v>
      </c>
    </row>
    <row r="20" spans="1:3" x14ac:dyDescent="0.3">
      <c r="A20" s="3">
        <v>19</v>
      </c>
      <c r="B20" s="2" t="s">
        <v>0</v>
      </c>
      <c r="C20" s="2" t="s">
        <v>28</v>
      </c>
    </row>
    <row r="21" spans="1:3" x14ac:dyDescent="0.3">
      <c r="A21" s="3">
        <v>20</v>
      </c>
      <c r="B21" s="2" t="s">
        <v>0</v>
      </c>
      <c r="C21" s="2" t="s">
        <v>28</v>
      </c>
    </row>
    <row r="22" spans="1:3" x14ac:dyDescent="0.3"/>
    <row r="26" spans="1:3" hidden="1" x14ac:dyDescent="0.3">
      <c r="A26" s="26"/>
      <c r="B26" s="26"/>
      <c r="C26" s="26"/>
    </row>
    <row r="62" spans="1:1" hidden="1" x14ac:dyDescent="0.3">
      <c r="A62" s="3"/>
    </row>
    <row r="63" spans="1:1" hidden="1" x14ac:dyDescent="0.3">
      <c r="A63" s="3"/>
    </row>
    <row r="64" spans="1:1" hidden="1" x14ac:dyDescent="0.3">
      <c r="A64" s="3"/>
    </row>
    <row r="65" spans="1:1" hidden="1" x14ac:dyDescent="0.3">
      <c r="A65" s="3"/>
    </row>
    <row r="66" spans="1:1" hidden="1" x14ac:dyDescent="0.3">
      <c r="A66" s="3"/>
    </row>
    <row r="67" spans="1:1" hidden="1" x14ac:dyDescent="0.3">
      <c r="A67" s="3"/>
    </row>
    <row r="68" spans="1:1" hidden="1" x14ac:dyDescent="0.3">
      <c r="A68" s="3"/>
    </row>
    <row r="69" spans="1:1" hidden="1" x14ac:dyDescent="0.3">
      <c r="A69" s="3"/>
    </row>
    <row r="70" spans="1:1" hidden="1" x14ac:dyDescent="0.3">
      <c r="A70" s="3"/>
    </row>
  </sheetData>
  <mergeCells count="1">
    <mergeCell ref="A26:C26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C1003-C7AB-4CD0-BFBF-103738B9EFD4}">
  <dimension ref="A1:C70"/>
  <sheetViews>
    <sheetView zoomScale="85" zoomScaleNormal="85" workbookViewId="0">
      <selection activeCell="A23" sqref="A23:XFD1048576"/>
    </sheetView>
  </sheetViews>
  <sheetFormatPr defaultColWidth="0" defaultRowHeight="14.4" zeroHeight="1" x14ac:dyDescent="0.3"/>
  <cols>
    <col min="1" max="1" width="8.796875" customWidth="1"/>
    <col min="2" max="2" width="140.3984375" bestFit="1" customWidth="1"/>
    <col min="3" max="3" width="15.5" bestFit="1" customWidth="1"/>
    <col min="4" max="16384" width="8.796875" hidden="1"/>
  </cols>
  <sheetData>
    <row r="1" spans="1:3" x14ac:dyDescent="0.3">
      <c r="A1" s="1" t="s">
        <v>2</v>
      </c>
      <c r="B1" s="1" t="s">
        <v>3</v>
      </c>
      <c r="C1" s="1" t="s">
        <v>27</v>
      </c>
    </row>
    <row r="2" spans="1:3" x14ac:dyDescent="0.3">
      <c r="A2" s="3">
        <v>1</v>
      </c>
      <c r="B2" s="2" t="s">
        <v>0</v>
      </c>
      <c r="C2" s="2" t="s">
        <v>28</v>
      </c>
    </row>
    <row r="3" spans="1:3" x14ac:dyDescent="0.3">
      <c r="A3" s="3">
        <v>2</v>
      </c>
      <c r="B3" s="2" t="s">
        <v>0</v>
      </c>
      <c r="C3" s="2" t="s">
        <v>28</v>
      </c>
    </row>
    <row r="4" spans="1:3" x14ac:dyDescent="0.3">
      <c r="A4" s="3">
        <v>3</v>
      </c>
      <c r="B4" s="2" t="s">
        <v>0</v>
      </c>
      <c r="C4" s="2" t="s">
        <v>28</v>
      </c>
    </row>
    <row r="5" spans="1:3" x14ac:dyDescent="0.3">
      <c r="A5" s="3">
        <v>4</v>
      </c>
      <c r="B5" s="2" t="s">
        <v>0</v>
      </c>
      <c r="C5" s="2" t="s">
        <v>28</v>
      </c>
    </row>
    <row r="6" spans="1:3" x14ac:dyDescent="0.3">
      <c r="A6" s="3">
        <v>5</v>
      </c>
      <c r="B6" s="2" t="s">
        <v>0</v>
      </c>
      <c r="C6" s="2" t="s">
        <v>28</v>
      </c>
    </row>
    <row r="7" spans="1:3" x14ac:dyDescent="0.3">
      <c r="A7" s="3">
        <v>6</v>
      </c>
      <c r="B7" s="2" t="s">
        <v>0</v>
      </c>
      <c r="C7" s="2" t="s">
        <v>28</v>
      </c>
    </row>
    <row r="8" spans="1:3" x14ac:dyDescent="0.3">
      <c r="A8" s="3">
        <v>7</v>
      </c>
      <c r="B8" s="2" t="s">
        <v>0</v>
      </c>
      <c r="C8" s="2" t="s">
        <v>28</v>
      </c>
    </row>
    <row r="9" spans="1:3" x14ac:dyDescent="0.3">
      <c r="A9" s="3">
        <v>8</v>
      </c>
      <c r="B9" s="2" t="s">
        <v>0</v>
      </c>
      <c r="C9" s="2" t="s">
        <v>28</v>
      </c>
    </row>
    <row r="10" spans="1:3" x14ac:dyDescent="0.3">
      <c r="A10" s="3">
        <v>9</v>
      </c>
      <c r="B10" s="2" t="s">
        <v>0</v>
      </c>
      <c r="C10" s="2" t="s">
        <v>28</v>
      </c>
    </row>
    <row r="11" spans="1:3" x14ac:dyDescent="0.3">
      <c r="A11" s="3">
        <v>10</v>
      </c>
      <c r="B11" s="2" t="s">
        <v>0</v>
      </c>
      <c r="C11" s="2" t="s">
        <v>28</v>
      </c>
    </row>
    <row r="12" spans="1:3" x14ac:dyDescent="0.3">
      <c r="A12" s="3">
        <v>11</v>
      </c>
      <c r="B12" s="2" t="s">
        <v>0</v>
      </c>
      <c r="C12" s="2" t="s">
        <v>28</v>
      </c>
    </row>
    <row r="13" spans="1:3" x14ac:dyDescent="0.3">
      <c r="A13" s="3">
        <v>12</v>
      </c>
      <c r="B13" s="2" t="s">
        <v>0</v>
      </c>
      <c r="C13" s="2" t="s">
        <v>28</v>
      </c>
    </row>
    <row r="14" spans="1:3" x14ac:dyDescent="0.3">
      <c r="A14" s="3">
        <v>13</v>
      </c>
      <c r="B14" s="2" t="s">
        <v>0</v>
      </c>
      <c r="C14" s="2" t="s">
        <v>28</v>
      </c>
    </row>
    <row r="15" spans="1:3" x14ac:dyDescent="0.3">
      <c r="A15" s="3">
        <v>14</v>
      </c>
      <c r="B15" s="2" t="s">
        <v>0</v>
      </c>
      <c r="C15" s="2" t="s">
        <v>28</v>
      </c>
    </row>
    <row r="16" spans="1:3" x14ac:dyDescent="0.3">
      <c r="A16" s="3">
        <v>15</v>
      </c>
      <c r="B16" s="2" t="s">
        <v>0</v>
      </c>
      <c r="C16" s="2" t="s">
        <v>28</v>
      </c>
    </row>
    <row r="17" spans="1:3" x14ac:dyDescent="0.3">
      <c r="A17" s="3">
        <v>16</v>
      </c>
      <c r="B17" s="2" t="s">
        <v>0</v>
      </c>
      <c r="C17" s="2" t="s">
        <v>28</v>
      </c>
    </row>
    <row r="18" spans="1:3" x14ac:dyDescent="0.3">
      <c r="A18" s="3">
        <v>17</v>
      </c>
      <c r="B18" s="2" t="s">
        <v>0</v>
      </c>
      <c r="C18" s="2" t="s">
        <v>28</v>
      </c>
    </row>
    <row r="19" spans="1:3" x14ac:dyDescent="0.3">
      <c r="A19" s="3">
        <v>18</v>
      </c>
      <c r="B19" s="2" t="s">
        <v>0</v>
      </c>
      <c r="C19" s="2" t="s">
        <v>28</v>
      </c>
    </row>
    <row r="20" spans="1:3" x14ac:dyDescent="0.3">
      <c r="A20" s="3">
        <v>19</v>
      </c>
      <c r="B20" s="2" t="s">
        <v>0</v>
      </c>
      <c r="C20" s="2" t="s">
        <v>28</v>
      </c>
    </row>
    <row r="21" spans="1:3" x14ac:dyDescent="0.3">
      <c r="A21" s="3">
        <v>20</v>
      </c>
      <c r="B21" s="2" t="s">
        <v>0</v>
      </c>
      <c r="C21" s="2" t="s">
        <v>28</v>
      </c>
    </row>
    <row r="22" spans="1:3" x14ac:dyDescent="0.3"/>
    <row r="26" spans="1:3" hidden="1" x14ac:dyDescent="0.3">
      <c r="A26" s="26"/>
      <c r="B26" s="26"/>
      <c r="C26" s="26"/>
    </row>
    <row r="62" spans="1:1" hidden="1" x14ac:dyDescent="0.3">
      <c r="A62" s="3"/>
    </row>
    <row r="63" spans="1:1" hidden="1" x14ac:dyDescent="0.3">
      <c r="A63" s="3"/>
    </row>
    <row r="64" spans="1:1" hidden="1" x14ac:dyDescent="0.3">
      <c r="A64" s="3"/>
    </row>
    <row r="65" spans="1:1" hidden="1" x14ac:dyDescent="0.3">
      <c r="A65" s="3"/>
    </row>
    <row r="66" spans="1:1" hidden="1" x14ac:dyDescent="0.3">
      <c r="A66" s="3"/>
    </row>
    <row r="67" spans="1:1" hidden="1" x14ac:dyDescent="0.3">
      <c r="A67" s="3"/>
    </row>
    <row r="68" spans="1:1" hidden="1" x14ac:dyDescent="0.3">
      <c r="A68" s="3"/>
    </row>
    <row r="69" spans="1:1" hidden="1" x14ac:dyDescent="0.3">
      <c r="A69" s="3"/>
    </row>
    <row r="70" spans="1:1" hidden="1" x14ac:dyDescent="0.3">
      <c r="A70" s="3"/>
    </row>
  </sheetData>
  <mergeCells count="1">
    <mergeCell ref="A26:C26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2F711-1732-46CB-A3DE-2BE5559454EC}">
  <dimension ref="A1:C70"/>
  <sheetViews>
    <sheetView topLeftCell="A6" zoomScale="115" zoomScaleNormal="115" workbookViewId="0">
      <selection activeCell="A23" sqref="A23:XFD1048576"/>
    </sheetView>
  </sheetViews>
  <sheetFormatPr defaultColWidth="0" defaultRowHeight="14.4" zeroHeight="1" x14ac:dyDescent="0.3"/>
  <cols>
    <col min="1" max="1" width="8.796875" customWidth="1"/>
    <col min="2" max="2" width="140.3984375" bestFit="1" customWidth="1"/>
    <col min="3" max="3" width="15.5" bestFit="1" customWidth="1"/>
    <col min="4" max="16384" width="8.796875" hidden="1"/>
  </cols>
  <sheetData>
    <row r="1" spans="1:3" x14ac:dyDescent="0.3">
      <c r="A1" s="1" t="s">
        <v>2</v>
      </c>
      <c r="B1" s="1" t="s">
        <v>3</v>
      </c>
      <c r="C1" s="1" t="s">
        <v>27</v>
      </c>
    </row>
    <row r="2" spans="1:3" x14ac:dyDescent="0.3">
      <c r="A2" s="2">
        <v>1</v>
      </c>
      <c r="B2" s="2" t="s">
        <v>0</v>
      </c>
      <c r="C2" s="3" t="s">
        <v>28</v>
      </c>
    </row>
    <row r="3" spans="1:3" x14ac:dyDescent="0.3">
      <c r="A3" s="2">
        <v>2</v>
      </c>
      <c r="B3" s="2" t="s">
        <v>0</v>
      </c>
      <c r="C3" s="3" t="s">
        <v>28</v>
      </c>
    </row>
    <row r="4" spans="1:3" x14ac:dyDescent="0.3">
      <c r="A4" s="2">
        <v>3</v>
      </c>
      <c r="B4" s="2" t="s">
        <v>0</v>
      </c>
      <c r="C4" s="3" t="s">
        <v>28</v>
      </c>
    </row>
    <row r="5" spans="1:3" x14ac:dyDescent="0.3">
      <c r="A5" s="2">
        <v>4</v>
      </c>
      <c r="B5" s="2" t="s">
        <v>0</v>
      </c>
      <c r="C5" s="3" t="s">
        <v>28</v>
      </c>
    </row>
    <row r="6" spans="1:3" x14ac:dyDescent="0.3">
      <c r="A6" s="2">
        <v>5</v>
      </c>
      <c r="B6" s="2" t="s">
        <v>0</v>
      </c>
      <c r="C6" s="3" t="s">
        <v>28</v>
      </c>
    </row>
    <row r="7" spans="1:3" x14ac:dyDescent="0.3">
      <c r="A7" s="2">
        <v>6</v>
      </c>
      <c r="B7" s="2" t="s">
        <v>0</v>
      </c>
      <c r="C7" s="3" t="s">
        <v>28</v>
      </c>
    </row>
    <row r="8" spans="1:3" x14ac:dyDescent="0.3">
      <c r="A8" s="2">
        <v>7</v>
      </c>
      <c r="B8" s="2" t="s">
        <v>0</v>
      </c>
      <c r="C8" s="3" t="s">
        <v>28</v>
      </c>
    </row>
    <row r="9" spans="1:3" x14ac:dyDescent="0.3">
      <c r="A9" s="2">
        <v>8</v>
      </c>
      <c r="B9" s="2" t="s">
        <v>0</v>
      </c>
      <c r="C9" s="3" t="s">
        <v>28</v>
      </c>
    </row>
    <row r="10" spans="1:3" x14ac:dyDescent="0.3">
      <c r="A10" s="2">
        <v>9</v>
      </c>
      <c r="B10" s="2" t="s">
        <v>0</v>
      </c>
      <c r="C10" s="3" t="s">
        <v>28</v>
      </c>
    </row>
    <row r="11" spans="1:3" x14ac:dyDescent="0.3">
      <c r="A11" s="2">
        <v>10</v>
      </c>
      <c r="B11" s="2" t="s">
        <v>0</v>
      </c>
      <c r="C11" s="3" t="s">
        <v>28</v>
      </c>
    </row>
    <row r="12" spans="1:3" x14ac:dyDescent="0.3">
      <c r="A12" s="2">
        <v>11</v>
      </c>
      <c r="B12" s="2" t="s">
        <v>0</v>
      </c>
      <c r="C12" s="3" t="s">
        <v>28</v>
      </c>
    </row>
    <row r="13" spans="1:3" x14ac:dyDescent="0.3">
      <c r="A13" s="2">
        <v>12</v>
      </c>
      <c r="B13" s="2" t="s">
        <v>0</v>
      </c>
      <c r="C13" s="3" t="s">
        <v>28</v>
      </c>
    </row>
    <row r="14" spans="1:3" x14ac:dyDescent="0.3">
      <c r="A14" s="2">
        <v>13</v>
      </c>
      <c r="B14" s="2" t="s">
        <v>0</v>
      </c>
      <c r="C14" s="3" t="s">
        <v>28</v>
      </c>
    </row>
    <row r="15" spans="1:3" x14ac:dyDescent="0.3">
      <c r="A15" s="2">
        <v>14</v>
      </c>
      <c r="B15" s="2" t="s">
        <v>0</v>
      </c>
      <c r="C15" s="3" t="s">
        <v>28</v>
      </c>
    </row>
    <row r="16" spans="1:3" x14ac:dyDescent="0.3">
      <c r="A16" s="2">
        <v>15</v>
      </c>
      <c r="B16" s="2" t="s">
        <v>0</v>
      </c>
      <c r="C16" s="3" t="s">
        <v>28</v>
      </c>
    </row>
    <row r="17" spans="1:3" x14ac:dyDescent="0.3">
      <c r="A17" s="2">
        <v>16</v>
      </c>
      <c r="B17" s="2" t="s">
        <v>0</v>
      </c>
      <c r="C17" s="3" t="s">
        <v>29</v>
      </c>
    </row>
    <row r="18" spans="1:3" x14ac:dyDescent="0.3">
      <c r="A18" s="2">
        <v>17</v>
      </c>
      <c r="B18" s="2" t="s">
        <v>0</v>
      </c>
      <c r="C18" s="3" t="s">
        <v>29</v>
      </c>
    </row>
    <row r="19" spans="1:3" x14ac:dyDescent="0.3">
      <c r="A19" s="2">
        <v>18</v>
      </c>
      <c r="B19" s="2" t="s">
        <v>0</v>
      </c>
      <c r="C19" s="3" t="s">
        <v>29</v>
      </c>
    </row>
    <row r="20" spans="1:3" x14ac:dyDescent="0.3">
      <c r="A20" s="2">
        <v>19</v>
      </c>
      <c r="B20" s="2" t="s">
        <v>0</v>
      </c>
      <c r="C20" s="3" t="s">
        <v>29</v>
      </c>
    </row>
    <row r="21" spans="1:3" x14ac:dyDescent="0.3">
      <c r="A21" s="2">
        <v>20</v>
      </c>
      <c r="B21" s="2" t="s">
        <v>0</v>
      </c>
      <c r="C21" s="3" t="s">
        <v>29</v>
      </c>
    </row>
    <row r="22" spans="1:3" x14ac:dyDescent="0.3"/>
    <row r="26" spans="1:3" hidden="1" x14ac:dyDescent="0.3">
      <c r="A26" s="26"/>
      <c r="B26" s="26"/>
      <c r="C26" s="26"/>
    </row>
    <row r="62" spans="1:1" hidden="1" x14ac:dyDescent="0.3">
      <c r="A62" s="2"/>
    </row>
    <row r="63" spans="1:1" hidden="1" x14ac:dyDescent="0.3">
      <c r="A63" s="2"/>
    </row>
    <row r="64" spans="1:1" hidden="1" x14ac:dyDescent="0.3">
      <c r="A64" s="2"/>
    </row>
    <row r="65" spans="1:1" hidden="1" x14ac:dyDescent="0.3">
      <c r="A65" s="2"/>
    </row>
    <row r="66" spans="1:1" hidden="1" x14ac:dyDescent="0.3">
      <c r="A66" s="2"/>
    </row>
    <row r="67" spans="1:1" hidden="1" x14ac:dyDescent="0.3">
      <c r="A67" s="2"/>
    </row>
    <row r="68" spans="1:1" hidden="1" x14ac:dyDescent="0.3">
      <c r="A68" s="2"/>
    </row>
    <row r="69" spans="1:1" hidden="1" x14ac:dyDescent="0.3">
      <c r="A69" s="2"/>
    </row>
    <row r="70" spans="1:1" hidden="1" x14ac:dyDescent="0.3">
      <c r="A70" s="2"/>
    </row>
  </sheetData>
  <mergeCells count="1">
    <mergeCell ref="A26:C26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2434C-84BC-4B25-96FC-DE9D6D16C6F0}">
  <dimension ref="A1:C80"/>
  <sheetViews>
    <sheetView topLeftCell="A11" zoomScale="160" zoomScaleNormal="160" workbookViewId="0">
      <selection activeCell="A23" sqref="A23:XFD1048576"/>
    </sheetView>
  </sheetViews>
  <sheetFormatPr defaultColWidth="0" defaultRowHeight="14.4" zeroHeight="1" x14ac:dyDescent="0.3"/>
  <cols>
    <col min="1" max="1" width="11.09765625" customWidth="1"/>
    <col min="2" max="2" width="104.8984375" customWidth="1"/>
    <col min="3" max="3" width="15.5" bestFit="1" customWidth="1"/>
    <col min="4" max="16384" width="8.796875" hidden="1"/>
  </cols>
  <sheetData>
    <row r="1" spans="1:3" x14ac:dyDescent="0.3">
      <c r="A1" s="1" t="s">
        <v>2</v>
      </c>
      <c r="B1" s="1" t="s">
        <v>3</v>
      </c>
      <c r="C1" s="1" t="s">
        <v>27</v>
      </c>
    </row>
    <row r="2" spans="1:3" x14ac:dyDescent="0.3">
      <c r="A2" s="3">
        <v>1</v>
      </c>
      <c r="B2" s="3" t="s">
        <v>0</v>
      </c>
      <c r="C2" s="2" t="s">
        <v>28</v>
      </c>
    </row>
    <row r="3" spans="1:3" x14ac:dyDescent="0.3">
      <c r="A3" s="3">
        <v>2</v>
      </c>
      <c r="B3" s="3" t="s">
        <v>0</v>
      </c>
      <c r="C3" s="2" t="s">
        <v>28</v>
      </c>
    </row>
    <row r="4" spans="1:3" x14ac:dyDescent="0.3">
      <c r="A4" s="3">
        <v>3</v>
      </c>
      <c r="B4" s="3" t="s">
        <v>1</v>
      </c>
      <c r="C4" s="2" t="s">
        <v>29</v>
      </c>
    </row>
    <row r="5" spans="1:3" x14ac:dyDescent="0.3">
      <c r="A5" s="3">
        <v>4</v>
      </c>
      <c r="B5" s="3" t="s">
        <v>0</v>
      </c>
      <c r="C5" s="2" t="s">
        <v>28</v>
      </c>
    </row>
    <row r="6" spans="1:3" x14ac:dyDescent="0.3">
      <c r="A6" s="3">
        <v>5</v>
      </c>
      <c r="B6" s="3" t="s">
        <v>1</v>
      </c>
      <c r="C6" s="2" t="s">
        <v>29</v>
      </c>
    </row>
    <row r="7" spans="1:3" x14ac:dyDescent="0.3">
      <c r="A7" s="3">
        <v>6</v>
      </c>
      <c r="B7" s="3" t="s">
        <v>1</v>
      </c>
      <c r="C7" s="2" t="s">
        <v>29</v>
      </c>
    </row>
    <row r="8" spans="1:3" x14ac:dyDescent="0.3">
      <c r="A8" s="3">
        <v>7</v>
      </c>
      <c r="B8" s="3" t="s">
        <v>0</v>
      </c>
      <c r="C8" s="2" t="s">
        <v>28</v>
      </c>
    </row>
    <row r="9" spans="1:3" x14ac:dyDescent="0.3">
      <c r="A9" s="3">
        <v>8</v>
      </c>
      <c r="B9" s="3" t="s">
        <v>0</v>
      </c>
      <c r="C9" s="2" t="s">
        <v>28</v>
      </c>
    </row>
    <row r="10" spans="1:3" x14ac:dyDescent="0.3">
      <c r="A10" s="3">
        <v>9</v>
      </c>
      <c r="B10" s="3" t="s">
        <v>1</v>
      </c>
      <c r="C10" s="2" t="s">
        <v>29</v>
      </c>
    </row>
    <row r="11" spans="1:3" x14ac:dyDescent="0.3">
      <c r="A11" s="3">
        <v>10</v>
      </c>
      <c r="B11" s="3" t="s">
        <v>1</v>
      </c>
      <c r="C11" s="2" t="s">
        <v>29</v>
      </c>
    </row>
    <row r="12" spans="1:3" x14ac:dyDescent="0.3">
      <c r="A12" s="3">
        <v>11</v>
      </c>
      <c r="B12" s="3" t="s">
        <v>0</v>
      </c>
      <c r="C12" s="2" t="s">
        <v>28</v>
      </c>
    </row>
    <row r="13" spans="1:3" x14ac:dyDescent="0.3">
      <c r="A13" s="3">
        <v>12</v>
      </c>
      <c r="B13" s="3" t="s">
        <v>0</v>
      </c>
      <c r="C13" s="2" t="s">
        <v>28</v>
      </c>
    </row>
    <row r="14" spans="1:3" x14ac:dyDescent="0.3">
      <c r="A14" s="3">
        <v>13</v>
      </c>
      <c r="B14" s="3" t="s">
        <v>0</v>
      </c>
      <c r="C14" s="2" t="s">
        <v>28</v>
      </c>
    </row>
    <row r="15" spans="1:3" x14ac:dyDescent="0.3">
      <c r="A15" s="3">
        <v>14</v>
      </c>
      <c r="B15" s="3" t="s">
        <v>0</v>
      </c>
      <c r="C15" s="2" t="s">
        <v>28</v>
      </c>
    </row>
    <row r="16" spans="1:3" x14ac:dyDescent="0.3">
      <c r="A16" s="3">
        <v>15</v>
      </c>
      <c r="B16" s="3" t="s">
        <v>0</v>
      </c>
      <c r="C16" s="2" t="s">
        <v>28</v>
      </c>
    </row>
    <row r="17" spans="1:3" x14ac:dyDescent="0.3">
      <c r="A17" s="3">
        <v>16</v>
      </c>
      <c r="B17" s="3" t="s">
        <v>0</v>
      </c>
      <c r="C17" s="2" t="s">
        <v>28</v>
      </c>
    </row>
    <row r="18" spans="1:3" x14ac:dyDescent="0.3">
      <c r="A18" s="3">
        <v>17</v>
      </c>
      <c r="B18" s="3" t="s">
        <v>0</v>
      </c>
      <c r="C18" s="2" t="s">
        <v>28</v>
      </c>
    </row>
    <row r="19" spans="1:3" x14ac:dyDescent="0.3">
      <c r="A19" s="3">
        <v>18</v>
      </c>
      <c r="B19" s="3" t="s">
        <v>0</v>
      </c>
      <c r="C19" s="2" t="s">
        <v>28</v>
      </c>
    </row>
    <row r="20" spans="1:3" x14ac:dyDescent="0.3">
      <c r="A20" s="3">
        <v>19</v>
      </c>
      <c r="B20" s="3" t="s">
        <v>0</v>
      </c>
      <c r="C20" s="2" t="s">
        <v>28</v>
      </c>
    </row>
    <row r="21" spans="1:3" x14ac:dyDescent="0.3">
      <c r="A21" s="3">
        <v>20</v>
      </c>
      <c r="B21" s="3" t="s">
        <v>0</v>
      </c>
      <c r="C21" s="2" t="s">
        <v>28</v>
      </c>
    </row>
    <row r="22" spans="1:3" x14ac:dyDescent="0.3"/>
    <row r="26" spans="1:3" hidden="1" x14ac:dyDescent="0.3">
      <c r="A26" s="26"/>
      <c r="B26" s="26"/>
      <c r="C26" s="26"/>
    </row>
    <row r="62" spans="1:1" hidden="1" x14ac:dyDescent="0.3">
      <c r="A62" s="3"/>
    </row>
    <row r="63" spans="1:1" hidden="1" x14ac:dyDescent="0.3">
      <c r="A63" s="3"/>
    </row>
    <row r="64" spans="1:1" hidden="1" x14ac:dyDescent="0.3">
      <c r="A64" s="3"/>
    </row>
    <row r="65" spans="1:1" hidden="1" x14ac:dyDescent="0.3">
      <c r="A65" s="3"/>
    </row>
    <row r="66" spans="1:1" hidden="1" x14ac:dyDescent="0.3">
      <c r="A66" s="3"/>
    </row>
    <row r="67" spans="1:1" hidden="1" x14ac:dyDescent="0.3">
      <c r="A67" s="3"/>
    </row>
    <row r="68" spans="1:1" hidden="1" x14ac:dyDescent="0.3">
      <c r="A68" s="3"/>
    </row>
    <row r="69" spans="1:1" hidden="1" x14ac:dyDescent="0.3">
      <c r="A69" s="3"/>
    </row>
    <row r="70" spans="1:1" hidden="1" x14ac:dyDescent="0.3">
      <c r="A70" s="3"/>
    </row>
    <row r="71" spans="1:1" hidden="1" x14ac:dyDescent="0.3">
      <c r="A71" s="3"/>
    </row>
    <row r="72" spans="1:1" hidden="1" x14ac:dyDescent="0.3">
      <c r="A72" s="3"/>
    </row>
    <row r="73" spans="1:1" hidden="1" x14ac:dyDescent="0.3">
      <c r="A73" s="3"/>
    </row>
    <row r="74" spans="1:1" hidden="1" x14ac:dyDescent="0.3">
      <c r="A74" s="3"/>
    </row>
    <row r="75" spans="1:1" hidden="1" x14ac:dyDescent="0.3">
      <c r="A75" s="3"/>
    </row>
    <row r="76" spans="1:1" hidden="1" x14ac:dyDescent="0.3">
      <c r="A76" s="3"/>
    </row>
    <row r="77" spans="1:1" hidden="1" x14ac:dyDescent="0.3">
      <c r="A77" s="3"/>
    </row>
    <row r="78" spans="1:1" hidden="1" x14ac:dyDescent="0.3">
      <c r="A78" s="3"/>
    </row>
    <row r="79" spans="1:1" hidden="1" x14ac:dyDescent="0.3">
      <c r="A79" s="3"/>
    </row>
    <row r="80" spans="1:1" hidden="1" x14ac:dyDescent="0.3">
      <c r="A80" s="3"/>
    </row>
  </sheetData>
  <mergeCells count="1">
    <mergeCell ref="A26:C26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3208A-B102-4257-9A4F-53796B152CED}">
  <dimension ref="A1:C26"/>
  <sheetViews>
    <sheetView topLeftCell="A6" zoomScale="115" zoomScaleNormal="115" workbookViewId="0">
      <selection activeCell="A23" sqref="A23:XFD1048576"/>
    </sheetView>
  </sheetViews>
  <sheetFormatPr defaultColWidth="0" defaultRowHeight="14.4" zeroHeight="1" x14ac:dyDescent="0.3"/>
  <cols>
    <col min="1" max="1" width="8.59765625" style="5" customWidth="1"/>
    <col min="2" max="2" width="139.19921875" style="5" bestFit="1" customWidth="1"/>
    <col min="3" max="3" width="15.5" style="5" bestFit="1" customWidth="1"/>
    <col min="4" max="4" width="8.59765625" style="5" customWidth="1"/>
    <col min="5" max="16384" width="8.59765625" style="5" hidden="1"/>
  </cols>
  <sheetData>
    <row r="1" spans="1:3" x14ac:dyDescent="0.3">
      <c r="A1" s="1" t="s">
        <v>2</v>
      </c>
      <c r="B1" s="1" t="s">
        <v>3</v>
      </c>
      <c r="C1" s="1" t="s">
        <v>27</v>
      </c>
    </row>
    <row r="2" spans="1:3" x14ac:dyDescent="0.3">
      <c r="A2" s="3">
        <v>1</v>
      </c>
      <c r="B2" s="2" t="s">
        <v>0</v>
      </c>
      <c r="C2" s="6" t="s">
        <v>28</v>
      </c>
    </row>
    <row r="3" spans="1:3" x14ac:dyDescent="0.3">
      <c r="A3" s="3">
        <v>2</v>
      </c>
      <c r="B3" s="2" t="s">
        <v>0</v>
      </c>
      <c r="C3" s="6" t="s">
        <v>28</v>
      </c>
    </row>
    <row r="4" spans="1:3" x14ac:dyDescent="0.3">
      <c r="A4" s="3">
        <v>3</v>
      </c>
      <c r="B4" s="2" t="s">
        <v>0</v>
      </c>
      <c r="C4" s="6" t="s">
        <v>28</v>
      </c>
    </row>
    <row r="5" spans="1:3" x14ac:dyDescent="0.3">
      <c r="A5" s="3">
        <v>4</v>
      </c>
      <c r="B5" s="2" t="s">
        <v>0</v>
      </c>
      <c r="C5" s="6" t="s">
        <v>28</v>
      </c>
    </row>
    <row r="6" spans="1:3" x14ac:dyDescent="0.3">
      <c r="A6" s="3">
        <v>5</v>
      </c>
      <c r="B6" s="2" t="s">
        <v>0</v>
      </c>
      <c r="C6" s="6" t="s">
        <v>28</v>
      </c>
    </row>
    <row r="7" spans="1:3" x14ac:dyDescent="0.3">
      <c r="A7" s="3">
        <v>6</v>
      </c>
      <c r="B7" s="2" t="s">
        <v>0</v>
      </c>
      <c r="C7" s="6" t="s">
        <v>28</v>
      </c>
    </row>
    <row r="8" spans="1:3" x14ac:dyDescent="0.3">
      <c r="A8" s="3">
        <v>7</v>
      </c>
      <c r="B8" s="2" t="s">
        <v>0</v>
      </c>
      <c r="C8" s="6" t="s">
        <v>28</v>
      </c>
    </row>
    <row r="9" spans="1:3" x14ac:dyDescent="0.3">
      <c r="A9" s="3">
        <v>8</v>
      </c>
      <c r="B9" s="2" t="s">
        <v>0</v>
      </c>
      <c r="C9" s="6" t="s">
        <v>28</v>
      </c>
    </row>
    <row r="10" spans="1:3" x14ac:dyDescent="0.3">
      <c r="A10" s="3">
        <v>9</v>
      </c>
      <c r="B10" s="2" t="s">
        <v>0</v>
      </c>
      <c r="C10" s="6" t="s">
        <v>28</v>
      </c>
    </row>
    <row r="11" spans="1:3" x14ac:dyDescent="0.3">
      <c r="A11" s="3">
        <v>10</v>
      </c>
      <c r="B11" s="2" t="s">
        <v>0</v>
      </c>
      <c r="C11" s="6" t="s">
        <v>28</v>
      </c>
    </row>
    <row r="12" spans="1:3" x14ac:dyDescent="0.3">
      <c r="A12" s="3">
        <v>11</v>
      </c>
      <c r="B12" s="2" t="s">
        <v>0</v>
      </c>
      <c r="C12" s="6" t="s">
        <v>28</v>
      </c>
    </row>
    <row r="13" spans="1:3" x14ac:dyDescent="0.3">
      <c r="A13" s="3">
        <v>12</v>
      </c>
      <c r="B13" s="2" t="s">
        <v>0</v>
      </c>
      <c r="C13" s="6" t="s">
        <v>28</v>
      </c>
    </row>
    <row r="14" spans="1:3" x14ac:dyDescent="0.3">
      <c r="A14" s="3">
        <v>13</v>
      </c>
      <c r="B14" s="2" t="s">
        <v>0</v>
      </c>
      <c r="C14" s="6" t="s">
        <v>28</v>
      </c>
    </row>
    <row r="15" spans="1:3" x14ac:dyDescent="0.3">
      <c r="A15" s="3">
        <v>14</v>
      </c>
      <c r="B15" s="2" t="s">
        <v>0</v>
      </c>
      <c r="C15" s="6" t="s">
        <v>28</v>
      </c>
    </row>
    <row r="16" spans="1:3" x14ac:dyDescent="0.3">
      <c r="A16" s="3">
        <v>15</v>
      </c>
      <c r="B16" s="2" t="s">
        <v>0</v>
      </c>
      <c r="C16" s="6" t="s">
        <v>28</v>
      </c>
    </row>
    <row r="17" spans="1:3" x14ac:dyDescent="0.3">
      <c r="A17" s="3">
        <v>16</v>
      </c>
      <c r="B17" s="2" t="s">
        <v>0</v>
      </c>
      <c r="C17" s="6" t="s">
        <v>28</v>
      </c>
    </row>
    <row r="18" spans="1:3" x14ac:dyDescent="0.3">
      <c r="A18" s="3">
        <v>17</v>
      </c>
      <c r="B18" s="2" t="s">
        <v>0</v>
      </c>
      <c r="C18" s="6" t="s">
        <v>28</v>
      </c>
    </row>
    <row r="19" spans="1:3" x14ac:dyDescent="0.3">
      <c r="A19" s="3">
        <v>18</v>
      </c>
      <c r="B19" s="2" t="s">
        <v>0</v>
      </c>
      <c r="C19" s="6" t="s">
        <v>28</v>
      </c>
    </row>
    <row r="20" spans="1:3" x14ac:dyDescent="0.3">
      <c r="A20" s="3">
        <v>19</v>
      </c>
      <c r="B20" s="2" t="s">
        <v>0</v>
      </c>
      <c r="C20" s="6" t="s">
        <v>28</v>
      </c>
    </row>
    <row r="21" spans="1:3" x14ac:dyDescent="0.3">
      <c r="A21" s="3">
        <v>20</v>
      </c>
      <c r="B21" s="2" t="s">
        <v>0</v>
      </c>
      <c r="C21" s="6" t="s">
        <v>28</v>
      </c>
    </row>
    <row r="22" spans="1:3" x14ac:dyDescent="0.3"/>
    <row r="26" spans="1:3" hidden="1" x14ac:dyDescent="0.3">
      <c r="A26" s="22"/>
      <c r="B26" s="22"/>
      <c r="C26" s="22"/>
    </row>
  </sheetData>
  <mergeCells count="1">
    <mergeCell ref="A26:C26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99CB9-D09F-45EF-8132-6AF45B213E26}">
  <dimension ref="A1:C32"/>
  <sheetViews>
    <sheetView topLeftCell="A8" zoomScaleNormal="100" workbookViewId="0">
      <selection activeCell="A28" sqref="A28:XFD1048576"/>
    </sheetView>
  </sheetViews>
  <sheetFormatPr defaultColWidth="0" defaultRowHeight="14.4" zeroHeight="1" x14ac:dyDescent="0.3"/>
  <cols>
    <col min="1" max="1" width="8.796875" customWidth="1"/>
    <col min="2" max="2" width="141.69921875" customWidth="1"/>
    <col min="3" max="3" width="15.5" bestFit="1" customWidth="1"/>
    <col min="4" max="16384" width="8.796875" hidden="1"/>
  </cols>
  <sheetData>
    <row r="1" spans="1:3" x14ac:dyDescent="0.3">
      <c r="A1" s="1" t="s">
        <v>2</v>
      </c>
      <c r="B1" s="1" t="s">
        <v>3</v>
      </c>
      <c r="C1" s="1" t="s">
        <v>27</v>
      </c>
    </row>
    <row r="2" spans="1:3" x14ac:dyDescent="0.3">
      <c r="A2" s="3">
        <v>1</v>
      </c>
      <c r="B2" s="3" t="s">
        <v>0</v>
      </c>
      <c r="C2" s="15" t="s">
        <v>28</v>
      </c>
    </row>
    <row r="3" spans="1:3" x14ac:dyDescent="0.3">
      <c r="A3" s="3">
        <v>2</v>
      </c>
      <c r="B3" s="3" t="s">
        <v>1</v>
      </c>
      <c r="C3" s="15" t="s">
        <v>29</v>
      </c>
    </row>
    <row r="4" spans="1:3" x14ac:dyDescent="0.3">
      <c r="A4" s="3">
        <v>3</v>
      </c>
      <c r="B4" s="3" t="s">
        <v>0</v>
      </c>
      <c r="C4" s="15" t="s">
        <v>28</v>
      </c>
    </row>
    <row r="5" spans="1:3" x14ac:dyDescent="0.3">
      <c r="A5" s="3">
        <v>4</v>
      </c>
      <c r="B5" s="3" t="s">
        <v>1</v>
      </c>
      <c r="C5" s="15" t="s">
        <v>29</v>
      </c>
    </row>
    <row r="6" spans="1:3" x14ac:dyDescent="0.3">
      <c r="A6" s="3">
        <v>5</v>
      </c>
      <c r="B6" s="3" t="s">
        <v>1</v>
      </c>
      <c r="C6" s="15" t="s">
        <v>29</v>
      </c>
    </row>
    <row r="7" spans="1:3" x14ac:dyDescent="0.3">
      <c r="A7" s="3">
        <v>6</v>
      </c>
      <c r="B7" s="3" t="s">
        <v>0</v>
      </c>
      <c r="C7" s="15" t="s">
        <v>28</v>
      </c>
    </row>
    <row r="8" spans="1:3" x14ac:dyDescent="0.3">
      <c r="A8" s="3">
        <v>7</v>
      </c>
      <c r="B8" s="3" t="s">
        <v>0</v>
      </c>
      <c r="C8" s="15" t="s">
        <v>28</v>
      </c>
    </row>
    <row r="9" spans="1:3" x14ac:dyDescent="0.3">
      <c r="A9" s="3">
        <v>8</v>
      </c>
      <c r="B9" s="3" t="s">
        <v>0</v>
      </c>
      <c r="C9" s="15" t="s">
        <v>28</v>
      </c>
    </row>
    <row r="10" spans="1:3" x14ac:dyDescent="0.3">
      <c r="A10" s="3">
        <v>9</v>
      </c>
      <c r="B10" s="3" t="s">
        <v>0</v>
      </c>
      <c r="C10" s="15" t="s">
        <v>28</v>
      </c>
    </row>
    <row r="11" spans="1:3" x14ac:dyDescent="0.3">
      <c r="A11" s="3">
        <v>10</v>
      </c>
      <c r="B11" s="3" t="s">
        <v>0</v>
      </c>
      <c r="C11" s="15" t="s">
        <v>28</v>
      </c>
    </row>
    <row r="12" spans="1:3" x14ac:dyDescent="0.3">
      <c r="A12" s="3">
        <v>11</v>
      </c>
      <c r="B12" s="3" t="s">
        <v>0</v>
      </c>
      <c r="C12" s="15" t="s">
        <v>28</v>
      </c>
    </row>
    <row r="13" spans="1:3" x14ac:dyDescent="0.3">
      <c r="A13" s="3">
        <v>12</v>
      </c>
      <c r="B13" s="3" t="s">
        <v>0</v>
      </c>
      <c r="C13" s="15" t="s">
        <v>28</v>
      </c>
    </row>
    <row r="14" spans="1:3" x14ac:dyDescent="0.3">
      <c r="A14" s="3">
        <v>13</v>
      </c>
      <c r="B14" s="3" t="s">
        <v>0</v>
      </c>
      <c r="C14" s="15" t="s">
        <v>28</v>
      </c>
    </row>
    <row r="15" spans="1:3" x14ac:dyDescent="0.3">
      <c r="A15" s="3">
        <v>14</v>
      </c>
      <c r="B15" s="3" t="s">
        <v>0</v>
      </c>
      <c r="C15" s="15" t="s">
        <v>28</v>
      </c>
    </row>
    <row r="16" spans="1:3" x14ac:dyDescent="0.3">
      <c r="A16" s="3">
        <v>15</v>
      </c>
      <c r="B16" s="3" t="s">
        <v>0</v>
      </c>
      <c r="C16" s="15" t="s">
        <v>28</v>
      </c>
    </row>
    <row r="17" spans="1:3" x14ac:dyDescent="0.3">
      <c r="A17" s="3">
        <v>16</v>
      </c>
      <c r="B17" s="3" t="s">
        <v>0</v>
      </c>
      <c r="C17" s="15" t="s">
        <v>28</v>
      </c>
    </row>
    <row r="18" spans="1:3" x14ac:dyDescent="0.3">
      <c r="A18" s="3">
        <v>17</v>
      </c>
      <c r="B18" s="3" t="s">
        <v>0</v>
      </c>
      <c r="C18" s="15" t="s">
        <v>28</v>
      </c>
    </row>
    <row r="19" spans="1:3" x14ac:dyDescent="0.3">
      <c r="A19" s="3">
        <v>18</v>
      </c>
      <c r="B19" s="3" t="s">
        <v>0</v>
      </c>
      <c r="C19" s="15" t="s">
        <v>28</v>
      </c>
    </row>
    <row r="20" spans="1:3" x14ac:dyDescent="0.3">
      <c r="A20" s="3">
        <v>19</v>
      </c>
      <c r="B20" s="3" t="s">
        <v>0</v>
      </c>
      <c r="C20" s="15" t="s">
        <v>28</v>
      </c>
    </row>
    <row r="21" spans="1:3" x14ac:dyDescent="0.3">
      <c r="A21" s="3">
        <v>20</v>
      </c>
      <c r="B21" s="3" t="s">
        <v>0</v>
      </c>
      <c r="C21" s="15" t="s">
        <v>28</v>
      </c>
    </row>
    <row r="22" spans="1:3" x14ac:dyDescent="0.3">
      <c r="A22" s="3">
        <v>21</v>
      </c>
      <c r="B22" s="3" t="s">
        <v>0</v>
      </c>
      <c r="C22" s="15" t="s">
        <v>28</v>
      </c>
    </row>
    <row r="23" spans="1:3" x14ac:dyDescent="0.3">
      <c r="A23" s="3">
        <v>22</v>
      </c>
      <c r="B23" s="3" t="s">
        <v>0</v>
      </c>
      <c r="C23" s="15" t="s">
        <v>28</v>
      </c>
    </row>
    <row r="24" spans="1:3" x14ac:dyDescent="0.3">
      <c r="A24" s="3">
        <v>23</v>
      </c>
      <c r="B24" s="3" t="s">
        <v>0</v>
      </c>
      <c r="C24" s="15" t="s">
        <v>28</v>
      </c>
    </row>
    <row r="25" spans="1:3" x14ac:dyDescent="0.3">
      <c r="A25" s="3">
        <v>24</v>
      </c>
      <c r="B25" s="3" t="s">
        <v>0</v>
      </c>
      <c r="C25" s="15" t="s">
        <v>28</v>
      </c>
    </row>
    <row r="26" spans="1:3" x14ac:dyDescent="0.3">
      <c r="A26" s="3">
        <v>25</v>
      </c>
      <c r="B26" s="3" t="s">
        <v>0</v>
      </c>
      <c r="C26" s="15" t="s">
        <v>28</v>
      </c>
    </row>
    <row r="27" spans="1:3" x14ac:dyDescent="0.3">
      <c r="A27" s="3"/>
    </row>
    <row r="32" spans="1:3" hidden="1" x14ac:dyDescent="0.3">
      <c r="A32" s="26"/>
      <c r="B32" s="26"/>
      <c r="C32" s="26"/>
    </row>
  </sheetData>
  <mergeCells count="1">
    <mergeCell ref="A32:C32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6E9F1-E20A-4BB4-BE38-4BA1B62693D4}">
  <dimension ref="A1:C33"/>
  <sheetViews>
    <sheetView topLeftCell="A8" zoomScaleNormal="100" workbookViewId="0">
      <selection activeCell="A28" sqref="A28:XFD1048576"/>
    </sheetView>
  </sheetViews>
  <sheetFormatPr defaultColWidth="0" defaultRowHeight="14.4" zeroHeight="1" x14ac:dyDescent="0.3"/>
  <cols>
    <col min="1" max="1" width="8.796875" customWidth="1"/>
    <col min="2" max="2" width="139.59765625" customWidth="1"/>
    <col min="3" max="3" width="15.5" bestFit="1" customWidth="1"/>
    <col min="4" max="16384" width="8.796875" hidden="1"/>
  </cols>
  <sheetData>
    <row r="1" spans="1:3" x14ac:dyDescent="0.3">
      <c r="A1" s="1" t="s">
        <v>2</v>
      </c>
      <c r="B1" s="1" t="s">
        <v>3</v>
      </c>
      <c r="C1" s="1" t="s">
        <v>27</v>
      </c>
    </row>
    <row r="2" spans="1:3" x14ac:dyDescent="0.3">
      <c r="A2" s="2">
        <v>1</v>
      </c>
      <c r="B2" s="2" t="s">
        <v>0</v>
      </c>
      <c r="C2" s="16" t="s">
        <v>28</v>
      </c>
    </row>
    <row r="3" spans="1:3" x14ac:dyDescent="0.3">
      <c r="A3" s="2">
        <v>2</v>
      </c>
      <c r="B3" s="2" t="s">
        <v>0</v>
      </c>
      <c r="C3" s="16" t="s">
        <v>28</v>
      </c>
    </row>
    <row r="4" spans="1:3" x14ac:dyDescent="0.3">
      <c r="A4" s="2">
        <v>3</v>
      </c>
      <c r="B4" s="2" t="s">
        <v>1</v>
      </c>
      <c r="C4" s="16" t="s">
        <v>29</v>
      </c>
    </row>
    <row r="5" spans="1:3" x14ac:dyDescent="0.3">
      <c r="A5" s="2">
        <v>4</v>
      </c>
      <c r="B5" s="2" t="s">
        <v>1</v>
      </c>
      <c r="C5" s="16" t="s">
        <v>29</v>
      </c>
    </row>
    <row r="6" spans="1:3" x14ac:dyDescent="0.3">
      <c r="A6" s="2">
        <v>5</v>
      </c>
      <c r="B6" s="2" t="s">
        <v>1</v>
      </c>
      <c r="C6" s="16" t="s">
        <v>29</v>
      </c>
    </row>
    <row r="7" spans="1:3" x14ac:dyDescent="0.3">
      <c r="A7" s="2">
        <v>6</v>
      </c>
      <c r="B7" s="2" t="s">
        <v>0</v>
      </c>
      <c r="C7" s="16" t="s">
        <v>28</v>
      </c>
    </row>
    <row r="8" spans="1:3" x14ac:dyDescent="0.3">
      <c r="A8" s="2">
        <v>7</v>
      </c>
      <c r="B8" s="2" t="s">
        <v>0</v>
      </c>
      <c r="C8" s="16" t="s">
        <v>29</v>
      </c>
    </row>
    <row r="9" spans="1:3" x14ac:dyDescent="0.3">
      <c r="A9" s="2">
        <v>8</v>
      </c>
      <c r="B9" s="2" t="s">
        <v>1</v>
      </c>
      <c r="C9" s="16" t="s">
        <v>29</v>
      </c>
    </row>
    <row r="10" spans="1:3" x14ac:dyDescent="0.3">
      <c r="A10" s="2">
        <v>9</v>
      </c>
      <c r="B10" s="2" t="s">
        <v>0</v>
      </c>
      <c r="C10" s="16" t="s">
        <v>28</v>
      </c>
    </row>
    <row r="11" spans="1:3" x14ac:dyDescent="0.3">
      <c r="A11" s="2">
        <v>10</v>
      </c>
      <c r="B11" s="2" t="s">
        <v>0</v>
      </c>
      <c r="C11" s="16" t="s">
        <v>28</v>
      </c>
    </row>
    <row r="12" spans="1:3" x14ac:dyDescent="0.3">
      <c r="A12" s="2">
        <v>11</v>
      </c>
      <c r="B12" s="2" t="s">
        <v>0</v>
      </c>
      <c r="C12" s="16" t="s">
        <v>28</v>
      </c>
    </row>
    <row r="13" spans="1:3" x14ac:dyDescent="0.3">
      <c r="A13" s="2">
        <v>12</v>
      </c>
      <c r="B13" s="2" t="s">
        <v>0</v>
      </c>
      <c r="C13" s="16" t="s">
        <v>28</v>
      </c>
    </row>
    <row r="14" spans="1:3" x14ac:dyDescent="0.3">
      <c r="A14" s="2">
        <v>13</v>
      </c>
      <c r="B14" s="2" t="s">
        <v>0</v>
      </c>
      <c r="C14" s="16" t="s">
        <v>28</v>
      </c>
    </row>
    <row r="15" spans="1:3" x14ac:dyDescent="0.3">
      <c r="A15" s="2">
        <v>14</v>
      </c>
      <c r="B15" s="2" t="s">
        <v>0</v>
      </c>
      <c r="C15" s="16" t="s">
        <v>28</v>
      </c>
    </row>
    <row r="16" spans="1:3" x14ac:dyDescent="0.3">
      <c r="A16" s="2">
        <v>15</v>
      </c>
      <c r="B16" s="2" t="s">
        <v>0</v>
      </c>
      <c r="C16" s="16" t="s">
        <v>28</v>
      </c>
    </row>
    <row r="17" spans="1:3" x14ac:dyDescent="0.3">
      <c r="A17" s="2">
        <v>16</v>
      </c>
      <c r="B17" s="2" t="s">
        <v>0</v>
      </c>
      <c r="C17" s="16" t="s">
        <v>28</v>
      </c>
    </row>
    <row r="18" spans="1:3" x14ac:dyDescent="0.3">
      <c r="A18" s="2">
        <v>17</v>
      </c>
      <c r="B18" s="2" t="s">
        <v>0</v>
      </c>
      <c r="C18" s="16" t="s">
        <v>28</v>
      </c>
    </row>
    <row r="19" spans="1:3" x14ac:dyDescent="0.3">
      <c r="A19" s="2">
        <v>18</v>
      </c>
      <c r="B19" s="2" t="s">
        <v>0</v>
      </c>
      <c r="C19" s="16" t="s">
        <v>28</v>
      </c>
    </row>
    <row r="20" spans="1:3" x14ac:dyDescent="0.3">
      <c r="A20" s="2">
        <v>19</v>
      </c>
      <c r="B20" s="2" t="s">
        <v>0</v>
      </c>
      <c r="C20" s="16" t="s">
        <v>28</v>
      </c>
    </row>
    <row r="21" spans="1:3" x14ac:dyDescent="0.3">
      <c r="A21" s="2">
        <v>20</v>
      </c>
      <c r="B21" s="2" t="s">
        <v>0</v>
      </c>
      <c r="C21" s="16" t="s">
        <v>28</v>
      </c>
    </row>
    <row r="22" spans="1:3" x14ac:dyDescent="0.3">
      <c r="A22" s="2">
        <v>21</v>
      </c>
      <c r="B22" s="2" t="s">
        <v>0</v>
      </c>
      <c r="C22" s="16" t="s">
        <v>28</v>
      </c>
    </row>
    <row r="23" spans="1:3" x14ac:dyDescent="0.3">
      <c r="A23" s="2">
        <v>22</v>
      </c>
      <c r="B23" s="2" t="s">
        <v>0</v>
      </c>
      <c r="C23" s="16" t="s">
        <v>28</v>
      </c>
    </row>
    <row r="24" spans="1:3" x14ac:dyDescent="0.3">
      <c r="A24" s="2">
        <v>23</v>
      </c>
      <c r="B24" s="2" t="s">
        <v>0</v>
      </c>
      <c r="C24" s="16" t="s">
        <v>28</v>
      </c>
    </row>
    <row r="25" spans="1:3" x14ac:dyDescent="0.3">
      <c r="A25" s="2">
        <v>24</v>
      </c>
      <c r="B25" s="2" t="s">
        <v>0</v>
      </c>
      <c r="C25" s="16" t="s">
        <v>28</v>
      </c>
    </row>
    <row r="26" spans="1:3" x14ac:dyDescent="0.3">
      <c r="A26" s="2">
        <v>25</v>
      </c>
      <c r="B26" s="2" t="s">
        <v>0</v>
      </c>
      <c r="C26" s="16" t="s">
        <v>28</v>
      </c>
    </row>
    <row r="27" spans="1:3" x14ac:dyDescent="0.3"/>
    <row r="31" spans="1:3" hidden="1" x14ac:dyDescent="0.3">
      <c r="A31" s="26"/>
      <c r="B31" s="26"/>
      <c r="C31" s="26"/>
    </row>
    <row r="33" customFormat="1" hidden="1" x14ac:dyDescent="0.3"/>
  </sheetData>
  <mergeCells count="1">
    <mergeCell ref="A31:C31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A826A-2B2E-42EB-AC77-302B540E1D50}">
  <dimension ref="A1:C30"/>
  <sheetViews>
    <sheetView topLeftCell="A11" zoomScale="115" zoomScaleNormal="115" workbookViewId="0">
      <selection activeCell="A28" sqref="A28:XFD1048576"/>
    </sheetView>
  </sheetViews>
  <sheetFormatPr defaultColWidth="0" defaultRowHeight="14.4" zeroHeight="1" x14ac:dyDescent="0.3"/>
  <cols>
    <col min="1" max="1" width="8.796875" customWidth="1"/>
    <col min="2" max="2" width="137.8984375" customWidth="1"/>
    <col min="3" max="3" width="15.5" bestFit="1" customWidth="1"/>
    <col min="4" max="16384" width="8.796875" hidden="1"/>
  </cols>
  <sheetData>
    <row r="1" spans="1:3" x14ac:dyDescent="0.3">
      <c r="A1" s="1" t="s">
        <v>2</v>
      </c>
      <c r="B1" s="1" t="s">
        <v>3</v>
      </c>
      <c r="C1" s="1" t="s">
        <v>27</v>
      </c>
    </row>
    <row r="2" spans="1:3" x14ac:dyDescent="0.3">
      <c r="A2" s="2">
        <v>1</v>
      </c>
      <c r="B2" s="2" t="s">
        <v>1</v>
      </c>
      <c r="C2" s="16" t="s">
        <v>29</v>
      </c>
    </row>
    <row r="3" spans="1:3" x14ac:dyDescent="0.3">
      <c r="A3" s="2">
        <v>2</v>
      </c>
      <c r="B3" s="2" t="s">
        <v>1</v>
      </c>
      <c r="C3" s="16" t="s">
        <v>29</v>
      </c>
    </row>
    <row r="4" spans="1:3" x14ac:dyDescent="0.3">
      <c r="A4" s="2">
        <v>3</v>
      </c>
      <c r="B4" s="2" t="s">
        <v>1</v>
      </c>
      <c r="C4" s="16" t="s">
        <v>29</v>
      </c>
    </row>
    <row r="5" spans="1:3" x14ac:dyDescent="0.3">
      <c r="A5" s="2">
        <v>4</v>
      </c>
      <c r="B5" s="2" t="s">
        <v>0</v>
      </c>
      <c r="C5" s="16" t="s">
        <v>28</v>
      </c>
    </row>
    <row r="6" spans="1:3" x14ac:dyDescent="0.3">
      <c r="A6" s="2">
        <v>5</v>
      </c>
      <c r="B6" s="2" t="s">
        <v>0</v>
      </c>
      <c r="C6" s="16" t="s">
        <v>28</v>
      </c>
    </row>
    <row r="7" spans="1:3" x14ac:dyDescent="0.3">
      <c r="A7" s="2">
        <v>6</v>
      </c>
      <c r="B7" s="2" t="s">
        <v>0</v>
      </c>
      <c r="C7" s="16" t="s">
        <v>28</v>
      </c>
    </row>
    <row r="8" spans="1:3" x14ac:dyDescent="0.3">
      <c r="A8" s="2">
        <v>7</v>
      </c>
      <c r="B8" s="2" t="s">
        <v>0</v>
      </c>
      <c r="C8" s="16" t="s">
        <v>28</v>
      </c>
    </row>
    <row r="9" spans="1:3" x14ac:dyDescent="0.3">
      <c r="A9" s="2">
        <v>8</v>
      </c>
      <c r="B9" s="2" t="s">
        <v>1</v>
      </c>
      <c r="C9" s="16" t="s">
        <v>29</v>
      </c>
    </row>
    <row r="10" spans="1:3" x14ac:dyDescent="0.3">
      <c r="A10" s="2">
        <v>9</v>
      </c>
      <c r="B10" s="2" t="s">
        <v>1</v>
      </c>
      <c r="C10" s="16" t="s">
        <v>29</v>
      </c>
    </row>
    <row r="11" spans="1:3" x14ac:dyDescent="0.3">
      <c r="A11" s="2">
        <v>10</v>
      </c>
      <c r="B11" s="2" t="s">
        <v>1</v>
      </c>
      <c r="C11" s="16" t="s">
        <v>29</v>
      </c>
    </row>
    <row r="12" spans="1:3" x14ac:dyDescent="0.3">
      <c r="A12" s="2">
        <v>11</v>
      </c>
      <c r="B12" s="2" t="s">
        <v>0</v>
      </c>
      <c r="C12" s="16" t="s">
        <v>28</v>
      </c>
    </row>
    <row r="13" spans="1:3" x14ac:dyDescent="0.3">
      <c r="A13" s="2">
        <v>12</v>
      </c>
      <c r="B13" s="2" t="s">
        <v>0</v>
      </c>
      <c r="C13" s="16" t="s">
        <v>28</v>
      </c>
    </row>
    <row r="14" spans="1:3" x14ac:dyDescent="0.3">
      <c r="A14" s="2">
        <v>13</v>
      </c>
      <c r="B14" s="2" t="s">
        <v>0</v>
      </c>
      <c r="C14" s="16" t="s">
        <v>28</v>
      </c>
    </row>
    <row r="15" spans="1:3" x14ac:dyDescent="0.3">
      <c r="A15" s="2">
        <v>14</v>
      </c>
      <c r="B15" s="2" t="s">
        <v>0</v>
      </c>
      <c r="C15" s="16" t="s">
        <v>28</v>
      </c>
    </row>
    <row r="16" spans="1:3" x14ac:dyDescent="0.3">
      <c r="A16" s="2">
        <v>15</v>
      </c>
      <c r="B16" s="2" t="s">
        <v>0</v>
      </c>
      <c r="C16" s="16" t="s">
        <v>28</v>
      </c>
    </row>
    <row r="17" spans="1:3" x14ac:dyDescent="0.3">
      <c r="A17" s="2">
        <v>16</v>
      </c>
      <c r="B17" s="2" t="s">
        <v>0</v>
      </c>
      <c r="C17" s="16" t="s">
        <v>28</v>
      </c>
    </row>
    <row r="18" spans="1:3" x14ac:dyDescent="0.3">
      <c r="A18" s="2">
        <v>17</v>
      </c>
      <c r="B18" s="2" t="s">
        <v>0</v>
      </c>
      <c r="C18" s="16" t="s">
        <v>28</v>
      </c>
    </row>
    <row r="19" spans="1:3" x14ac:dyDescent="0.3">
      <c r="A19" s="2">
        <v>18</v>
      </c>
      <c r="B19" s="2" t="s">
        <v>0</v>
      </c>
      <c r="C19" s="16" t="s">
        <v>28</v>
      </c>
    </row>
    <row r="20" spans="1:3" x14ac:dyDescent="0.3">
      <c r="A20" s="2">
        <v>19</v>
      </c>
      <c r="B20" s="2" t="s">
        <v>0</v>
      </c>
      <c r="C20" s="16" t="s">
        <v>28</v>
      </c>
    </row>
    <row r="21" spans="1:3" x14ac:dyDescent="0.3">
      <c r="A21" s="2">
        <v>20</v>
      </c>
      <c r="B21" s="2" t="s">
        <v>0</v>
      </c>
      <c r="C21" s="16" t="s">
        <v>28</v>
      </c>
    </row>
    <row r="22" spans="1:3" x14ac:dyDescent="0.3">
      <c r="A22" s="2">
        <v>21</v>
      </c>
      <c r="B22" s="2" t="s">
        <v>0</v>
      </c>
      <c r="C22" s="16" t="s">
        <v>28</v>
      </c>
    </row>
    <row r="23" spans="1:3" x14ac:dyDescent="0.3">
      <c r="A23" s="2">
        <v>22</v>
      </c>
      <c r="B23" s="2" t="s">
        <v>0</v>
      </c>
      <c r="C23" s="16" t="s">
        <v>28</v>
      </c>
    </row>
    <row r="24" spans="1:3" x14ac:dyDescent="0.3">
      <c r="A24" s="2">
        <v>23</v>
      </c>
      <c r="B24" s="2" t="s">
        <v>0</v>
      </c>
      <c r="C24" s="16" t="s">
        <v>28</v>
      </c>
    </row>
    <row r="25" spans="1:3" x14ac:dyDescent="0.3">
      <c r="A25" s="2">
        <v>24</v>
      </c>
      <c r="B25" s="2" t="s">
        <v>0</v>
      </c>
      <c r="C25" s="16" t="s">
        <v>28</v>
      </c>
    </row>
    <row r="26" spans="1:3" x14ac:dyDescent="0.3">
      <c r="A26" s="2">
        <v>25</v>
      </c>
      <c r="B26" s="2" t="s">
        <v>0</v>
      </c>
      <c r="C26" s="16" t="s">
        <v>28</v>
      </c>
    </row>
    <row r="27" spans="1:3" x14ac:dyDescent="0.3"/>
    <row r="30" spans="1:3" hidden="1" x14ac:dyDescent="0.3">
      <c r="A30" s="26"/>
      <c r="B30" s="26"/>
      <c r="C30" s="26"/>
    </row>
  </sheetData>
  <mergeCells count="1">
    <mergeCell ref="A30:C30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C18D1-E1F0-4A5E-9FDA-FF0F841FF7E6}">
  <dimension ref="A1:C23"/>
  <sheetViews>
    <sheetView topLeftCell="A3" zoomScale="130" zoomScaleNormal="130" workbookViewId="0">
      <selection activeCell="A18" sqref="A18:XFD1048576"/>
    </sheetView>
  </sheetViews>
  <sheetFormatPr defaultColWidth="0" defaultRowHeight="14.4" zeroHeight="1" x14ac:dyDescent="0.3"/>
  <cols>
    <col min="1" max="1" width="8.796875" customWidth="1"/>
    <col min="2" max="2" width="139.19921875" bestFit="1" customWidth="1"/>
    <col min="3" max="3" width="15.5" bestFit="1" customWidth="1"/>
    <col min="4" max="16384" width="8.796875" hidden="1"/>
  </cols>
  <sheetData>
    <row r="1" spans="1:3" x14ac:dyDescent="0.3">
      <c r="A1" s="1" t="s">
        <v>2</v>
      </c>
      <c r="B1" s="1" t="s">
        <v>3</v>
      </c>
      <c r="C1" s="1" t="s">
        <v>27</v>
      </c>
    </row>
    <row r="2" spans="1:3" x14ac:dyDescent="0.3">
      <c r="A2" s="3">
        <v>1</v>
      </c>
      <c r="B2" s="3" t="s">
        <v>0</v>
      </c>
      <c r="C2" s="15" t="s">
        <v>28</v>
      </c>
    </row>
    <row r="3" spans="1:3" x14ac:dyDescent="0.3">
      <c r="A3" s="3">
        <v>2</v>
      </c>
      <c r="B3" s="3" t="s">
        <v>0</v>
      </c>
      <c r="C3" s="15" t="s">
        <v>28</v>
      </c>
    </row>
    <row r="4" spans="1:3" x14ac:dyDescent="0.3">
      <c r="A4" s="3">
        <v>3</v>
      </c>
      <c r="B4" s="3" t="s">
        <v>0</v>
      </c>
      <c r="C4" s="15" t="s">
        <v>28</v>
      </c>
    </row>
    <row r="5" spans="1:3" x14ac:dyDescent="0.3">
      <c r="A5" s="3">
        <v>4</v>
      </c>
      <c r="B5" s="3" t="s">
        <v>0</v>
      </c>
      <c r="C5" s="15" t="s">
        <v>28</v>
      </c>
    </row>
    <row r="6" spans="1:3" x14ac:dyDescent="0.3">
      <c r="A6" s="3">
        <v>5</v>
      </c>
      <c r="B6" s="3" t="s">
        <v>0</v>
      </c>
      <c r="C6" s="15" t="s">
        <v>28</v>
      </c>
    </row>
    <row r="7" spans="1:3" x14ac:dyDescent="0.3">
      <c r="A7" s="3">
        <v>6</v>
      </c>
      <c r="B7" s="3" t="s">
        <v>0</v>
      </c>
      <c r="C7" s="15" t="s">
        <v>28</v>
      </c>
    </row>
    <row r="8" spans="1:3" x14ac:dyDescent="0.3">
      <c r="A8" s="3">
        <v>7</v>
      </c>
      <c r="B8" s="3" t="s">
        <v>0</v>
      </c>
      <c r="C8" s="15" t="s">
        <v>28</v>
      </c>
    </row>
    <row r="9" spans="1:3" x14ac:dyDescent="0.3">
      <c r="A9" s="3">
        <v>8</v>
      </c>
      <c r="B9" s="3" t="s">
        <v>0</v>
      </c>
      <c r="C9" s="15" t="s">
        <v>28</v>
      </c>
    </row>
    <row r="10" spans="1:3" x14ac:dyDescent="0.3">
      <c r="A10" s="3">
        <v>9</v>
      </c>
      <c r="B10" s="3" t="s">
        <v>0</v>
      </c>
      <c r="C10" s="15" t="s">
        <v>28</v>
      </c>
    </row>
    <row r="11" spans="1:3" x14ac:dyDescent="0.3">
      <c r="A11" s="3">
        <v>10</v>
      </c>
      <c r="B11" s="3" t="s">
        <v>0</v>
      </c>
      <c r="C11" s="15" t="s">
        <v>28</v>
      </c>
    </row>
    <row r="12" spans="1:3" x14ac:dyDescent="0.3">
      <c r="A12" s="3">
        <v>11</v>
      </c>
      <c r="B12" s="3" t="s">
        <v>0</v>
      </c>
      <c r="C12" s="15" t="s">
        <v>28</v>
      </c>
    </row>
    <row r="13" spans="1:3" x14ac:dyDescent="0.3">
      <c r="A13" s="3">
        <v>12</v>
      </c>
      <c r="B13" s="3" t="s">
        <v>0</v>
      </c>
      <c r="C13" s="15" t="s">
        <v>28</v>
      </c>
    </row>
    <row r="14" spans="1:3" x14ac:dyDescent="0.3">
      <c r="A14" s="3">
        <v>13</v>
      </c>
      <c r="B14" s="3" t="s">
        <v>0</v>
      </c>
      <c r="C14" s="15" t="s">
        <v>28</v>
      </c>
    </row>
    <row r="15" spans="1:3" x14ac:dyDescent="0.3">
      <c r="A15" s="3">
        <v>14</v>
      </c>
      <c r="B15" s="3" t="s">
        <v>0</v>
      </c>
      <c r="C15" s="15" t="s">
        <v>28</v>
      </c>
    </row>
    <row r="16" spans="1:3" x14ac:dyDescent="0.3">
      <c r="A16" s="3">
        <v>15</v>
      </c>
      <c r="B16" s="3" t="s">
        <v>0</v>
      </c>
      <c r="C16" s="15" t="s">
        <v>28</v>
      </c>
    </row>
    <row r="17" spans="1:3" x14ac:dyDescent="0.3"/>
    <row r="23" spans="1:3" hidden="1" x14ac:dyDescent="0.3">
      <c r="A23" s="26"/>
      <c r="B23" s="26"/>
      <c r="C23" s="26"/>
    </row>
  </sheetData>
  <mergeCells count="1">
    <mergeCell ref="A23:C23"/>
  </mergeCells>
  <conditionalFormatting sqref="B2:B16">
    <cfRule type="uniqueValues" dxfId="0" priority="1"/>
  </conditionalFormatting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018BB-A8B2-468C-8EFC-C32592398E73}">
  <dimension ref="A1:C97"/>
  <sheetViews>
    <sheetView zoomScale="115" zoomScaleNormal="115" workbookViewId="0">
      <selection activeCell="A18" sqref="A18:XFD1048576"/>
    </sheetView>
  </sheetViews>
  <sheetFormatPr defaultColWidth="0" defaultRowHeight="14.4" zeroHeight="1" x14ac:dyDescent="0.3"/>
  <cols>
    <col min="1" max="1" width="8.796875" customWidth="1"/>
    <col min="2" max="2" width="144.09765625" customWidth="1"/>
    <col min="3" max="3" width="15" customWidth="1"/>
    <col min="4" max="16384" width="8.796875" hidden="1"/>
  </cols>
  <sheetData>
    <row r="1" spans="1:3" x14ac:dyDescent="0.3">
      <c r="A1" s="1" t="s">
        <v>2</v>
      </c>
      <c r="B1" s="1" t="s">
        <v>3</v>
      </c>
      <c r="C1" s="1" t="s">
        <v>27</v>
      </c>
    </row>
    <row r="2" spans="1:3" x14ac:dyDescent="0.3">
      <c r="A2" s="3">
        <v>1</v>
      </c>
      <c r="B2" s="3" t="s">
        <v>1</v>
      </c>
      <c r="C2" s="15" t="s">
        <v>29</v>
      </c>
    </row>
    <row r="3" spans="1:3" x14ac:dyDescent="0.3">
      <c r="A3" s="3">
        <v>2</v>
      </c>
      <c r="B3" s="3" t="s">
        <v>1</v>
      </c>
      <c r="C3" s="15" t="s">
        <v>29</v>
      </c>
    </row>
    <row r="4" spans="1:3" x14ac:dyDescent="0.3">
      <c r="A4" s="3">
        <v>3</v>
      </c>
      <c r="B4" s="3" t="s">
        <v>1</v>
      </c>
      <c r="C4" s="15" t="s">
        <v>29</v>
      </c>
    </row>
    <row r="5" spans="1:3" x14ac:dyDescent="0.3">
      <c r="A5" s="3">
        <v>4</v>
      </c>
      <c r="B5" s="3" t="s">
        <v>1</v>
      </c>
      <c r="C5" s="15" t="s">
        <v>29</v>
      </c>
    </row>
    <row r="6" spans="1:3" x14ac:dyDescent="0.3">
      <c r="A6" s="3">
        <v>5</v>
      </c>
      <c r="B6" s="3" t="s">
        <v>1</v>
      </c>
      <c r="C6" s="15" t="s">
        <v>29</v>
      </c>
    </row>
    <row r="7" spans="1:3" x14ac:dyDescent="0.3">
      <c r="A7" s="3">
        <v>6</v>
      </c>
      <c r="B7" s="3" t="s">
        <v>1</v>
      </c>
      <c r="C7" s="15" t="s">
        <v>29</v>
      </c>
    </row>
    <row r="8" spans="1:3" x14ac:dyDescent="0.3">
      <c r="A8" s="3">
        <v>7</v>
      </c>
      <c r="B8" s="3" t="s">
        <v>0</v>
      </c>
      <c r="C8" s="15" t="s">
        <v>28</v>
      </c>
    </row>
    <row r="9" spans="1:3" x14ac:dyDescent="0.3">
      <c r="A9" s="3">
        <v>8</v>
      </c>
      <c r="B9" s="3" t="s">
        <v>0</v>
      </c>
      <c r="C9" s="15" t="s">
        <v>28</v>
      </c>
    </row>
    <row r="10" spans="1:3" x14ac:dyDescent="0.3">
      <c r="A10" s="3">
        <v>9</v>
      </c>
      <c r="B10" s="3" t="s">
        <v>0</v>
      </c>
      <c r="C10" s="15" t="s">
        <v>28</v>
      </c>
    </row>
    <row r="11" spans="1:3" x14ac:dyDescent="0.3">
      <c r="A11" s="3">
        <v>10</v>
      </c>
      <c r="B11" s="3" t="s">
        <v>0</v>
      </c>
      <c r="C11" s="15" t="s">
        <v>28</v>
      </c>
    </row>
    <row r="12" spans="1:3" x14ac:dyDescent="0.3">
      <c r="A12" s="3">
        <v>11</v>
      </c>
      <c r="B12" s="3" t="s">
        <v>0</v>
      </c>
      <c r="C12" s="15" t="s">
        <v>28</v>
      </c>
    </row>
    <row r="13" spans="1:3" x14ac:dyDescent="0.3">
      <c r="A13" s="3">
        <v>12</v>
      </c>
      <c r="B13" s="3" t="s">
        <v>0</v>
      </c>
      <c r="C13" s="15" t="s">
        <v>28</v>
      </c>
    </row>
    <row r="14" spans="1:3" x14ac:dyDescent="0.3">
      <c r="A14" s="3">
        <v>13</v>
      </c>
      <c r="B14" s="3" t="s">
        <v>0</v>
      </c>
      <c r="C14" s="15" t="s">
        <v>28</v>
      </c>
    </row>
    <row r="15" spans="1:3" x14ac:dyDescent="0.3">
      <c r="A15" s="3">
        <v>14</v>
      </c>
      <c r="B15" s="3" t="s">
        <v>0</v>
      </c>
      <c r="C15" s="15" t="s">
        <v>28</v>
      </c>
    </row>
    <row r="16" spans="1:3" x14ac:dyDescent="0.3">
      <c r="A16" s="3">
        <v>15</v>
      </c>
      <c r="B16" s="3" t="s">
        <v>0</v>
      </c>
      <c r="C16" s="15" t="s">
        <v>28</v>
      </c>
    </row>
    <row r="17" spans="1:3" x14ac:dyDescent="0.3"/>
    <row r="23" spans="1:3" hidden="1" x14ac:dyDescent="0.3">
      <c r="A23" s="26"/>
      <c r="B23" s="26"/>
      <c r="C23" s="26"/>
    </row>
    <row r="97" spans="1:3" hidden="1" x14ac:dyDescent="0.3">
      <c r="A97" s="3"/>
      <c r="B97" s="3"/>
      <c r="C97" s="2"/>
    </row>
  </sheetData>
  <mergeCells count="1">
    <mergeCell ref="A23:C23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EFE84-D386-454F-BED9-7AE8AFDC8A05}">
  <dimension ref="A1:C23"/>
  <sheetViews>
    <sheetView zoomScaleNormal="100" workbookViewId="0">
      <selection activeCell="A18" sqref="A18:XFD1048576"/>
    </sheetView>
  </sheetViews>
  <sheetFormatPr defaultColWidth="0" defaultRowHeight="14.4" zeroHeight="1" x14ac:dyDescent="0.3"/>
  <cols>
    <col min="1" max="1" width="8.796875" customWidth="1"/>
    <col min="2" max="2" width="144.09765625" customWidth="1"/>
    <col min="3" max="3" width="15.5" bestFit="1" customWidth="1"/>
    <col min="4" max="16384" width="8.796875" hidden="1"/>
  </cols>
  <sheetData>
    <row r="1" spans="1:3" x14ac:dyDescent="0.3">
      <c r="A1" s="1" t="s">
        <v>2</v>
      </c>
      <c r="B1" s="1" t="s">
        <v>3</v>
      </c>
      <c r="C1" s="1" t="s">
        <v>27</v>
      </c>
    </row>
    <row r="2" spans="1:3" x14ac:dyDescent="0.3">
      <c r="A2" s="3">
        <v>1</v>
      </c>
      <c r="B2" s="3" t="s">
        <v>0</v>
      </c>
      <c r="C2" s="15" t="s">
        <v>28</v>
      </c>
    </row>
    <row r="3" spans="1:3" x14ac:dyDescent="0.3">
      <c r="A3" s="3">
        <v>2</v>
      </c>
      <c r="B3" s="3" t="s">
        <v>0</v>
      </c>
      <c r="C3" s="15" t="s">
        <v>28</v>
      </c>
    </row>
    <row r="4" spans="1:3" x14ac:dyDescent="0.3">
      <c r="A4" s="3">
        <v>3</v>
      </c>
      <c r="B4" s="3" t="s">
        <v>1</v>
      </c>
      <c r="C4" s="15" t="s">
        <v>29</v>
      </c>
    </row>
    <row r="5" spans="1:3" x14ac:dyDescent="0.3">
      <c r="A5" s="3">
        <v>4</v>
      </c>
      <c r="B5" s="3" t="s">
        <v>1</v>
      </c>
      <c r="C5" s="15" t="s">
        <v>29</v>
      </c>
    </row>
    <row r="6" spans="1:3" x14ac:dyDescent="0.3">
      <c r="A6" s="3">
        <v>5</v>
      </c>
      <c r="B6" s="3" t="s">
        <v>1</v>
      </c>
      <c r="C6" s="15" t="s">
        <v>29</v>
      </c>
    </row>
    <row r="7" spans="1:3" x14ac:dyDescent="0.3">
      <c r="A7" s="3">
        <v>6</v>
      </c>
      <c r="B7" s="3" t="s">
        <v>1</v>
      </c>
      <c r="C7" s="15" t="s">
        <v>29</v>
      </c>
    </row>
    <row r="8" spans="1:3" x14ac:dyDescent="0.3">
      <c r="A8" s="3">
        <v>7</v>
      </c>
      <c r="B8" s="3" t="s">
        <v>1</v>
      </c>
      <c r="C8" s="15" t="s">
        <v>29</v>
      </c>
    </row>
    <row r="9" spans="1:3" x14ac:dyDescent="0.3">
      <c r="A9" s="3">
        <v>8</v>
      </c>
      <c r="B9" s="3" t="s">
        <v>1</v>
      </c>
      <c r="C9" s="15" t="s">
        <v>29</v>
      </c>
    </row>
    <row r="10" spans="1:3" x14ac:dyDescent="0.3">
      <c r="A10" s="3">
        <v>9</v>
      </c>
      <c r="B10" s="3" t="s">
        <v>0</v>
      </c>
      <c r="C10" s="15" t="s">
        <v>28</v>
      </c>
    </row>
    <row r="11" spans="1:3" x14ac:dyDescent="0.3">
      <c r="A11" s="3">
        <v>10</v>
      </c>
      <c r="B11" s="3" t="s">
        <v>0</v>
      </c>
      <c r="C11" s="15" t="s">
        <v>28</v>
      </c>
    </row>
    <row r="12" spans="1:3" x14ac:dyDescent="0.3">
      <c r="A12" s="3">
        <v>11</v>
      </c>
      <c r="B12" s="3" t="s">
        <v>0</v>
      </c>
      <c r="C12" s="15" t="s">
        <v>28</v>
      </c>
    </row>
    <row r="13" spans="1:3" x14ac:dyDescent="0.3">
      <c r="A13" s="3">
        <v>12</v>
      </c>
      <c r="B13" s="3" t="s">
        <v>0</v>
      </c>
      <c r="C13" s="15" t="s">
        <v>28</v>
      </c>
    </row>
    <row r="14" spans="1:3" x14ac:dyDescent="0.3">
      <c r="A14" s="3">
        <v>13</v>
      </c>
      <c r="B14" s="3" t="s">
        <v>0</v>
      </c>
      <c r="C14" s="15" t="s">
        <v>28</v>
      </c>
    </row>
    <row r="15" spans="1:3" x14ac:dyDescent="0.3">
      <c r="A15" s="3">
        <v>14</v>
      </c>
      <c r="B15" s="3" t="s">
        <v>0</v>
      </c>
      <c r="C15" s="15" t="s">
        <v>28</v>
      </c>
    </row>
    <row r="16" spans="1:3" x14ac:dyDescent="0.3">
      <c r="A16" s="3">
        <v>15</v>
      </c>
      <c r="B16" s="3" t="s">
        <v>0</v>
      </c>
      <c r="C16" s="15" t="s">
        <v>28</v>
      </c>
    </row>
    <row r="17" spans="1:3" x14ac:dyDescent="0.3"/>
    <row r="23" spans="1:3" hidden="1" x14ac:dyDescent="0.3">
      <c r="A23" s="26"/>
      <c r="B23" s="26"/>
      <c r="C23" s="26"/>
    </row>
  </sheetData>
  <mergeCells count="1">
    <mergeCell ref="A23:C23"/>
  </mergeCell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85BFE-3470-48AD-9C60-8F3A4688423F}">
  <dimension ref="A1:C97"/>
  <sheetViews>
    <sheetView zoomScaleNormal="100" workbookViewId="0">
      <selection activeCell="A18" sqref="A18:XFD1048576"/>
    </sheetView>
  </sheetViews>
  <sheetFormatPr defaultColWidth="0" defaultRowHeight="14.4" zeroHeight="1" x14ac:dyDescent="0.3"/>
  <cols>
    <col min="1" max="1" width="8.796875" customWidth="1"/>
    <col min="2" max="2" width="137" customWidth="1"/>
    <col min="3" max="3" width="15.5" bestFit="1" customWidth="1"/>
    <col min="4" max="16384" width="8.796875" hidden="1"/>
  </cols>
  <sheetData>
    <row r="1" spans="1:3" x14ac:dyDescent="0.3">
      <c r="A1" s="1" t="s">
        <v>2</v>
      </c>
      <c r="B1" s="1" t="s">
        <v>3</v>
      </c>
      <c r="C1" s="1" t="s">
        <v>27</v>
      </c>
    </row>
    <row r="2" spans="1:3" x14ac:dyDescent="0.3">
      <c r="A2" s="2">
        <v>1</v>
      </c>
      <c r="B2" s="3" t="s">
        <v>1</v>
      </c>
      <c r="C2" s="16" t="s">
        <v>29</v>
      </c>
    </row>
    <row r="3" spans="1:3" x14ac:dyDescent="0.3">
      <c r="A3" s="2">
        <v>2</v>
      </c>
      <c r="B3" s="3" t="s">
        <v>1</v>
      </c>
      <c r="C3" s="16" t="s">
        <v>29</v>
      </c>
    </row>
    <row r="4" spans="1:3" x14ac:dyDescent="0.3">
      <c r="A4" s="2">
        <v>3</v>
      </c>
      <c r="B4" s="3" t="s">
        <v>0</v>
      </c>
      <c r="C4" s="16" t="s">
        <v>28</v>
      </c>
    </row>
    <row r="5" spans="1:3" x14ac:dyDescent="0.3">
      <c r="A5" s="2">
        <v>4</v>
      </c>
      <c r="B5" s="3" t="s">
        <v>0</v>
      </c>
      <c r="C5" s="16" t="s">
        <v>28</v>
      </c>
    </row>
    <row r="6" spans="1:3" x14ac:dyDescent="0.3">
      <c r="A6" s="2">
        <v>5</v>
      </c>
      <c r="B6" s="3" t="s">
        <v>1</v>
      </c>
      <c r="C6" s="16" t="s">
        <v>29</v>
      </c>
    </row>
    <row r="7" spans="1:3" x14ac:dyDescent="0.3">
      <c r="A7" s="2">
        <v>6</v>
      </c>
      <c r="B7" s="3" t="s">
        <v>1</v>
      </c>
      <c r="C7" s="16" t="s">
        <v>29</v>
      </c>
    </row>
    <row r="8" spans="1:3" x14ac:dyDescent="0.3">
      <c r="A8" s="2">
        <v>7</v>
      </c>
      <c r="B8" s="3" t="s">
        <v>0</v>
      </c>
      <c r="C8" s="16" t="s">
        <v>28</v>
      </c>
    </row>
    <row r="9" spans="1:3" x14ac:dyDescent="0.3">
      <c r="A9" s="2">
        <v>8</v>
      </c>
      <c r="B9" s="3" t="s">
        <v>0</v>
      </c>
      <c r="C9" s="16" t="s">
        <v>28</v>
      </c>
    </row>
    <row r="10" spans="1:3" x14ac:dyDescent="0.3">
      <c r="A10" s="2">
        <v>9</v>
      </c>
      <c r="B10" s="3" t="s">
        <v>0</v>
      </c>
      <c r="C10" s="16" t="s">
        <v>28</v>
      </c>
    </row>
    <row r="11" spans="1:3" x14ac:dyDescent="0.3">
      <c r="A11" s="2">
        <v>10</v>
      </c>
      <c r="B11" s="3" t="s">
        <v>0</v>
      </c>
      <c r="C11" s="16" t="s">
        <v>28</v>
      </c>
    </row>
    <row r="12" spans="1:3" x14ac:dyDescent="0.3">
      <c r="A12" s="2">
        <v>11</v>
      </c>
      <c r="B12" s="3" t="s">
        <v>0</v>
      </c>
      <c r="C12" s="16" t="s">
        <v>28</v>
      </c>
    </row>
    <row r="13" spans="1:3" x14ac:dyDescent="0.3">
      <c r="A13" s="2">
        <v>12</v>
      </c>
      <c r="B13" s="3" t="s">
        <v>0</v>
      </c>
      <c r="C13" s="16" t="s">
        <v>28</v>
      </c>
    </row>
    <row r="14" spans="1:3" x14ac:dyDescent="0.3">
      <c r="A14" s="2">
        <v>13</v>
      </c>
      <c r="B14" s="3" t="s">
        <v>0</v>
      </c>
      <c r="C14" s="16" t="s">
        <v>28</v>
      </c>
    </row>
    <row r="15" spans="1:3" x14ac:dyDescent="0.3">
      <c r="A15" s="2">
        <v>14</v>
      </c>
      <c r="B15" s="3" t="s">
        <v>0</v>
      </c>
      <c r="C15" s="16" t="s">
        <v>28</v>
      </c>
    </row>
    <row r="16" spans="1:3" x14ac:dyDescent="0.3">
      <c r="A16" s="2">
        <v>15</v>
      </c>
      <c r="B16" s="3" t="s">
        <v>0</v>
      </c>
      <c r="C16" s="16" t="s">
        <v>28</v>
      </c>
    </row>
    <row r="17" spans="1:3" x14ac:dyDescent="0.3"/>
    <row r="22" spans="1:3" hidden="1" x14ac:dyDescent="0.3">
      <c r="A22" s="26"/>
      <c r="B22" s="26"/>
      <c r="C22" s="26"/>
    </row>
    <row r="97" spans="1:3" hidden="1" x14ac:dyDescent="0.3">
      <c r="A97" s="2"/>
      <c r="B97" s="3"/>
      <c r="C97" s="3"/>
    </row>
  </sheetData>
  <mergeCells count="1">
    <mergeCell ref="A22:C22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0EA83-68F3-4370-89A4-53AAB704AF62}">
  <dimension ref="A1:C21"/>
  <sheetViews>
    <sheetView topLeftCell="A5" zoomScale="145" zoomScaleNormal="145" workbookViewId="0">
      <selection activeCell="A18" sqref="A18:XFD1048576"/>
    </sheetView>
  </sheetViews>
  <sheetFormatPr defaultColWidth="0" defaultRowHeight="14.4" zeroHeight="1" x14ac:dyDescent="0.3"/>
  <cols>
    <col min="1" max="1" width="8.796875" customWidth="1"/>
    <col min="2" max="2" width="110.59765625" customWidth="1"/>
    <col min="3" max="3" width="15.5" bestFit="1" customWidth="1"/>
    <col min="4" max="16384" width="8.796875" hidden="1"/>
  </cols>
  <sheetData>
    <row r="1" spans="1:3" x14ac:dyDescent="0.3">
      <c r="A1" s="1" t="s">
        <v>2</v>
      </c>
      <c r="B1" s="1" t="s">
        <v>3</v>
      </c>
      <c r="C1" s="1" t="s">
        <v>27</v>
      </c>
    </row>
    <row r="2" spans="1:3" x14ac:dyDescent="0.3">
      <c r="A2" s="2">
        <v>1</v>
      </c>
      <c r="B2" s="2" t="s">
        <v>0</v>
      </c>
      <c r="C2" s="16" t="s">
        <v>28</v>
      </c>
    </row>
    <row r="3" spans="1:3" x14ac:dyDescent="0.3">
      <c r="A3" s="2">
        <v>2</v>
      </c>
      <c r="B3" s="2" t="s">
        <v>0</v>
      </c>
      <c r="C3" s="16" t="s">
        <v>28</v>
      </c>
    </row>
    <row r="4" spans="1:3" x14ac:dyDescent="0.3">
      <c r="A4" s="2">
        <v>3</v>
      </c>
      <c r="B4" s="2" t="s">
        <v>1</v>
      </c>
      <c r="C4" s="16" t="s">
        <v>29</v>
      </c>
    </row>
    <row r="5" spans="1:3" x14ac:dyDescent="0.3">
      <c r="A5" s="2">
        <v>4</v>
      </c>
      <c r="B5" s="2" t="s">
        <v>0</v>
      </c>
      <c r="C5" s="16" t="s">
        <v>29</v>
      </c>
    </row>
    <row r="6" spans="1:3" x14ac:dyDescent="0.3">
      <c r="A6" s="2">
        <v>5</v>
      </c>
      <c r="B6" s="2" t="s">
        <v>0</v>
      </c>
      <c r="C6" s="16" t="s">
        <v>29</v>
      </c>
    </row>
    <row r="7" spans="1:3" x14ac:dyDescent="0.3">
      <c r="A7" s="2">
        <v>6</v>
      </c>
      <c r="B7" s="2" t="s">
        <v>1</v>
      </c>
      <c r="C7" s="16" t="s">
        <v>29</v>
      </c>
    </row>
    <row r="8" spans="1:3" x14ac:dyDescent="0.3">
      <c r="A8" s="2">
        <v>7</v>
      </c>
      <c r="B8" s="2" t="s">
        <v>1</v>
      </c>
      <c r="C8" s="16" t="s">
        <v>29</v>
      </c>
    </row>
    <row r="9" spans="1:3" x14ac:dyDescent="0.3">
      <c r="A9" s="2">
        <v>8</v>
      </c>
      <c r="B9" s="2" t="s">
        <v>0</v>
      </c>
      <c r="C9" s="16" t="s">
        <v>28</v>
      </c>
    </row>
    <row r="10" spans="1:3" x14ac:dyDescent="0.3">
      <c r="A10" s="2">
        <v>9</v>
      </c>
      <c r="B10" s="2" t="s">
        <v>0</v>
      </c>
      <c r="C10" s="16" t="s">
        <v>28</v>
      </c>
    </row>
    <row r="11" spans="1:3" x14ac:dyDescent="0.3">
      <c r="A11" s="2">
        <v>10</v>
      </c>
      <c r="B11" s="3" t="s">
        <v>1</v>
      </c>
      <c r="C11" s="16" t="s">
        <v>29</v>
      </c>
    </row>
    <row r="12" spans="1:3" x14ac:dyDescent="0.3">
      <c r="A12" s="2">
        <v>11</v>
      </c>
      <c r="B12" s="2" t="s">
        <v>0</v>
      </c>
      <c r="C12" s="16" t="s">
        <v>29</v>
      </c>
    </row>
    <row r="13" spans="1:3" x14ac:dyDescent="0.3">
      <c r="A13" s="2">
        <v>12</v>
      </c>
      <c r="B13" s="2" t="s">
        <v>1</v>
      </c>
      <c r="C13" s="16" t="s">
        <v>29</v>
      </c>
    </row>
    <row r="14" spans="1:3" x14ac:dyDescent="0.3">
      <c r="A14" s="2">
        <v>13</v>
      </c>
      <c r="B14" s="2" t="s">
        <v>0</v>
      </c>
      <c r="C14" s="16" t="s">
        <v>28</v>
      </c>
    </row>
    <row r="15" spans="1:3" x14ac:dyDescent="0.3">
      <c r="A15" s="2">
        <v>14</v>
      </c>
      <c r="B15" s="2" t="s">
        <v>0</v>
      </c>
      <c r="C15" s="16" t="s">
        <v>28</v>
      </c>
    </row>
    <row r="16" spans="1:3" x14ac:dyDescent="0.3">
      <c r="A16" s="2">
        <v>15</v>
      </c>
      <c r="B16" s="2" t="s">
        <v>0</v>
      </c>
      <c r="C16" s="16" t="s">
        <v>28</v>
      </c>
    </row>
    <row r="17" spans="1:3" x14ac:dyDescent="0.3"/>
    <row r="21" spans="1:3" hidden="1" x14ac:dyDescent="0.3">
      <c r="A21" s="26"/>
      <c r="B21" s="26"/>
      <c r="C21" s="26"/>
    </row>
  </sheetData>
  <mergeCells count="1">
    <mergeCell ref="A21:C21"/>
  </mergeCell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1CA98-45F4-4C22-8180-BB99925FBAC6}">
  <dimension ref="A1:C97"/>
  <sheetViews>
    <sheetView zoomScale="115" zoomScaleNormal="115" workbookViewId="0">
      <selection activeCell="A18" sqref="A18:XFD1048576"/>
    </sheetView>
  </sheetViews>
  <sheetFormatPr defaultColWidth="0" defaultRowHeight="14.4" zeroHeight="1" x14ac:dyDescent="0.3"/>
  <cols>
    <col min="1" max="1" width="8.796875" customWidth="1"/>
    <col min="2" max="2" width="144.59765625" customWidth="1"/>
    <col min="3" max="3" width="15.5" bestFit="1" customWidth="1"/>
    <col min="4" max="16384" width="8.796875" hidden="1"/>
  </cols>
  <sheetData>
    <row r="1" spans="1:3" x14ac:dyDescent="0.3">
      <c r="A1" s="1" t="s">
        <v>2</v>
      </c>
      <c r="B1" s="1" t="s">
        <v>3</v>
      </c>
      <c r="C1" s="1" t="s">
        <v>27</v>
      </c>
    </row>
    <row r="2" spans="1:3" x14ac:dyDescent="0.3">
      <c r="A2" s="3">
        <v>1</v>
      </c>
      <c r="B2" s="2" t="s">
        <v>1</v>
      </c>
      <c r="C2" s="15" t="s">
        <v>29</v>
      </c>
    </row>
    <row r="3" spans="1:3" x14ac:dyDescent="0.3">
      <c r="A3" s="3">
        <v>2</v>
      </c>
      <c r="B3" s="2" t="s">
        <v>0</v>
      </c>
      <c r="C3" s="15" t="s">
        <v>28</v>
      </c>
    </row>
    <row r="4" spans="1:3" x14ac:dyDescent="0.3">
      <c r="A4" s="3">
        <v>3</v>
      </c>
      <c r="B4" s="2" t="s">
        <v>0</v>
      </c>
      <c r="C4" s="15" t="s">
        <v>28</v>
      </c>
    </row>
    <row r="5" spans="1:3" x14ac:dyDescent="0.3">
      <c r="A5" s="3">
        <v>4</v>
      </c>
      <c r="B5" s="2" t="s">
        <v>1</v>
      </c>
      <c r="C5" s="15" t="s">
        <v>29</v>
      </c>
    </row>
    <row r="6" spans="1:3" x14ac:dyDescent="0.3">
      <c r="A6" s="3">
        <v>5</v>
      </c>
      <c r="B6" s="2" t="s">
        <v>0</v>
      </c>
      <c r="C6" s="15" t="s">
        <v>28</v>
      </c>
    </row>
    <row r="7" spans="1:3" x14ac:dyDescent="0.3">
      <c r="A7" s="3">
        <v>6</v>
      </c>
      <c r="B7" s="2" t="s">
        <v>0</v>
      </c>
      <c r="C7" s="15" t="s">
        <v>28</v>
      </c>
    </row>
    <row r="8" spans="1:3" x14ac:dyDescent="0.3">
      <c r="A8" s="3">
        <v>7</v>
      </c>
      <c r="B8" s="2" t="s">
        <v>1</v>
      </c>
      <c r="C8" s="15" t="s">
        <v>29</v>
      </c>
    </row>
    <row r="9" spans="1:3" x14ac:dyDescent="0.3">
      <c r="A9" s="3">
        <v>8</v>
      </c>
      <c r="B9" s="2" t="s">
        <v>0</v>
      </c>
      <c r="C9" s="15" t="s">
        <v>28</v>
      </c>
    </row>
    <row r="10" spans="1:3" x14ac:dyDescent="0.3">
      <c r="A10" s="3">
        <v>9</v>
      </c>
      <c r="B10" s="2" t="s">
        <v>0</v>
      </c>
      <c r="C10" s="15" t="s">
        <v>28</v>
      </c>
    </row>
    <row r="11" spans="1:3" x14ac:dyDescent="0.3">
      <c r="A11" s="3">
        <v>10</v>
      </c>
      <c r="B11" s="2" t="s">
        <v>0</v>
      </c>
      <c r="C11" s="15" t="s">
        <v>28</v>
      </c>
    </row>
    <row r="12" spans="1:3" x14ac:dyDescent="0.3">
      <c r="A12" s="3">
        <v>11</v>
      </c>
      <c r="B12" s="2" t="s">
        <v>0</v>
      </c>
      <c r="C12" s="15" t="s">
        <v>28</v>
      </c>
    </row>
    <row r="13" spans="1:3" x14ac:dyDescent="0.3">
      <c r="A13" s="3">
        <v>12</v>
      </c>
      <c r="B13" s="2" t="s">
        <v>0</v>
      </c>
      <c r="C13" s="15" t="s">
        <v>28</v>
      </c>
    </row>
    <row r="14" spans="1:3" x14ac:dyDescent="0.3">
      <c r="A14" s="3">
        <v>13</v>
      </c>
      <c r="B14" s="2" t="s">
        <v>0</v>
      </c>
      <c r="C14" s="15" t="s">
        <v>28</v>
      </c>
    </row>
    <row r="15" spans="1:3" x14ac:dyDescent="0.3">
      <c r="A15" s="3">
        <v>14</v>
      </c>
      <c r="B15" s="2" t="s">
        <v>0</v>
      </c>
      <c r="C15" s="15" t="s">
        <v>28</v>
      </c>
    </row>
    <row r="16" spans="1:3" x14ac:dyDescent="0.3">
      <c r="A16" s="3">
        <v>15</v>
      </c>
      <c r="B16" s="2" t="s">
        <v>0</v>
      </c>
      <c r="C16" s="15" t="s">
        <v>28</v>
      </c>
    </row>
    <row r="17" x14ac:dyDescent="0.3"/>
    <row r="97" spans="1:3" hidden="1" x14ac:dyDescent="0.3">
      <c r="A97" s="3"/>
      <c r="B97" s="2"/>
      <c r="C97" s="2"/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64F8F-A42B-48BE-A749-D3D613BB1B1D}">
  <dimension ref="A1:D98"/>
  <sheetViews>
    <sheetView zoomScale="115" zoomScaleNormal="115" workbookViewId="0">
      <selection activeCell="A18" sqref="A18:XFD1048576"/>
    </sheetView>
  </sheetViews>
  <sheetFormatPr defaultColWidth="0" defaultRowHeight="14.4" zeroHeight="1" x14ac:dyDescent="0.3"/>
  <cols>
    <col min="1" max="1" width="8.796875" customWidth="1"/>
    <col min="2" max="2" width="137.3984375" customWidth="1"/>
    <col min="3" max="3" width="15.5" bestFit="1" customWidth="1"/>
    <col min="4" max="4" width="8.796875" customWidth="1"/>
    <col min="5" max="16384" width="8.796875" hidden="1"/>
  </cols>
  <sheetData>
    <row r="1" spans="1:4" x14ac:dyDescent="0.3">
      <c r="A1" s="1" t="s">
        <v>2</v>
      </c>
      <c r="B1" s="1" t="s">
        <v>3</v>
      </c>
      <c r="C1" s="1" t="s">
        <v>27</v>
      </c>
      <c r="D1" s="1"/>
    </row>
    <row r="2" spans="1:4" x14ac:dyDescent="0.3">
      <c r="A2">
        <v>1</v>
      </c>
      <c r="B2" s="3" t="s">
        <v>1</v>
      </c>
      <c r="C2" s="16" t="s">
        <v>29</v>
      </c>
      <c r="D2" s="2"/>
    </row>
    <row r="3" spans="1:4" x14ac:dyDescent="0.3">
      <c r="A3">
        <v>2</v>
      </c>
      <c r="B3" s="3" t="s">
        <v>1</v>
      </c>
      <c r="C3" s="16" t="s">
        <v>29</v>
      </c>
      <c r="D3" s="2"/>
    </row>
    <row r="4" spans="1:4" x14ac:dyDescent="0.3">
      <c r="A4">
        <v>3</v>
      </c>
      <c r="B4" s="3" t="s">
        <v>0</v>
      </c>
      <c r="C4" s="16" t="s">
        <v>28</v>
      </c>
      <c r="D4" s="2"/>
    </row>
    <row r="5" spans="1:4" x14ac:dyDescent="0.3">
      <c r="A5">
        <v>4</v>
      </c>
      <c r="B5" s="3" t="s">
        <v>0</v>
      </c>
      <c r="C5" s="16" t="s">
        <v>28</v>
      </c>
      <c r="D5" s="2"/>
    </row>
    <row r="6" spans="1:4" x14ac:dyDescent="0.3">
      <c r="A6">
        <v>5</v>
      </c>
      <c r="B6" s="3" t="s">
        <v>1</v>
      </c>
      <c r="C6" s="16" t="s">
        <v>29</v>
      </c>
      <c r="D6" s="2"/>
    </row>
    <row r="7" spans="1:4" x14ac:dyDescent="0.3">
      <c r="A7">
        <v>6</v>
      </c>
      <c r="B7" s="3" t="s">
        <v>1</v>
      </c>
      <c r="C7" s="16" t="s">
        <v>29</v>
      </c>
      <c r="D7" s="2"/>
    </row>
    <row r="8" spans="1:4" x14ac:dyDescent="0.3">
      <c r="A8">
        <v>7</v>
      </c>
      <c r="B8" s="3" t="s">
        <v>1</v>
      </c>
      <c r="C8" s="16" t="s">
        <v>29</v>
      </c>
      <c r="D8" s="2"/>
    </row>
    <row r="9" spans="1:4" x14ac:dyDescent="0.3">
      <c r="A9">
        <v>8</v>
      </c>
      <c r="B9" s="3" t="s">
        <v>1</v>
      </c>
      <c r="C9" s="16" t="s">
        <v>29</v>
      </c>
      <c r="D9" s="2"/>
    </row>
    <row r="10" spans="1:4" x14ac:dyDescent="0.3">
      <c r="A10">
        <v>9</v>
      </c>
      <c r="B10" s="3" t="s">
        <v>0</v>
      </c>
      <c r="C10" s="16" t="s">
        <v>28</v>
      </c>
      <c r="D10" s="2"/>
    </row>
    <row r="11" spans="1:4" x14ac:dyDescent="0.3">
      <c r="A11">
        <v>10</v>
      </c>
      <c r="B11" s="3" t="s">
        <v>0</v>
      </c>
      <c r="C11" s="16" t="s">
        <v>28</v>
      </c>
      <c r="D11" s="2"/>
    </row>
    <row r="12" spans="1:4" x14ac:dyDescent="0.3">
      <c r="A12">
        <v>11</v>
      </c>
      <c r="B12" s="3" t="s">
        <v>0</v>
      </c>
      <c r="C12" s="16" t="s">
        <v>28</v>
      </c>
      <c r="D12" s="2"/>
    </row>
    <row r="13" spans="1:4" x14ac:dyDescent="0.3">
      <c r="A13">
        <v>12</v>
      </c>
      <c r="B13" s="3" t="s">
        <v>0</v>
      </c>
      <c r="C13" s="16" t="s">
        <v>28</v>
      </c>
      <c r="D13" s="2"/>
    </row>
    <row r="14" spans="1:4" x14ac:dyDescent="0.3">
      <c r="A14">
        <v>13</v>
      </c>
      <c r="B14" s="3" t="s">
        <v>0</v>
      </c>
      <c r="C14" s="16" t="s">
        <v>28</v>
      </c>
      <c r="D14" s="2"/>
    </row>
    <row r="15" spans="1:4" x14ac:dyDescent="0.3">
      <c r="A15">
        <v>14</v>
      </c>
      <c r="B15" s="3" t="s">
        <v>0</v>
      </c>
      <c r="C15" s="16" t="s">
        <v>28</v>
      </c>
      <c r="D15" s="2"/>
    </row>
    <row r="16" spans="1:4" x14ac:dyDescent="0.3">
      <c r="A16">
        <v>15</v>
      </c>
      <c r="B16" s="3" t="s">
        <v>0</v>
      </c>
      <c r="C16" s="16" t="s">
        <v>28</v>
      </c>
      <c r="D16" s="2"/>
    </row>
    <row r="17" spans="2:4" x14ac:dyDescent="0.3"/>
    <row r="20" spans="2:4" hidden="1" x14ac:dyDescent="0.3">
      <c r="B20" s="26"/>
      <c r="C20" s="26"/>
      <c r="D20" s="26"/>
    </row>
    <row r="98" spans="2:4" hidden="1" x14ac:dyDescent="0.3">
      <c r="B98" s="3"/>
      <c r="C98" s="2"/>
      <c r="D98" s="2"/>
    </row>
  </sheetData>
  <mergeCells count="1">
    <mergeCell ref="B20:D20"/>
  </mergeCells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40AC3-4997-4FC6-9F38-5C5C1B28FFA9}">
  <dimension ref="A1:C106"/>
  <sheetViews>
    <sheetView topLeftCell="A3" zoomScale="130" zoomScaleNormal="130" workbookViewId="0">
      <selection activeCell="A18" sqref="A18:XFD1048576"/>
    </sheetView>
  </sheetViews>
  <sheetFormatPr defaultColWidth="0" defaultRowHeight="14.4" zeroHeight="1" x14ac:dyDescent="0.3"/>
  <cols>
    <col min="1" max="1" width="8.796875" customWidth="1"/>
    <col min="2" max="2" width="138" customWidth="1"/>
    <col min="3" max="3" width="15.5" bestFit="1" customWidth="1"/>
    <col min="4" max="16384" width="8.796875" hidden="1"/>
  </cols>
  <sheetData>
    <row r="1" spans="1:3" x14ac:dyDescent="0.3">
      <c r="A1" s="1" t="s">
        <v>2</v>
      </c>
      <c r="B1" s="1" t="s">
        <v>3</v>
      </c>
      <c r="C1" s="1" t="s">
        <v>27</v>
      </c>
    </row>
    <row r="2" spans="1:3" x14ac:dyDescent="0.3">
      <c r="A2">
        <v>1</v>
      </c>
      <c r="B2" s="3" t="s">
        <v>1</v>
      </c>
      <c r="C2" s="15" t="s">
        <v>29</v>
      </c>
    </row>
    <row r="3" spans="1:3" x14ac:dyDescent="0.3">
      <c r="A3">
        <v>2</v>
      </c>
      <c r="B3" s="3" t="s">
        <v>1</v>
      </c>
      <c r="C3" s="15" t="s">
        <v>29</v>
      </c>
    </row>
    <row r="4" spans="1:3" x14ac:dyDescent="0.3">
      <c r="A4">
        <v>3</v>
      </c>
      <c r="B4" s="3" t="s">
        <v>0</v>
      </c>
      <c r="C4" s="15" t="s">
        <v>28</v>
      </c>
    </row>
    <row r="5" spans="1:3" x14ac:dyDescent="0.3">
      <c r="A5">
        <v>4</v>
      </c>
      <c r="B5" s="3" t="s">
        <v>0</v>
      </c>
      <c r="C5" s="15" t="s">
        <v>28</v>
      </c>
    </row>
    <row r="6" spans="1:3" x14ac:dyDescent="0.3">
      <c r="A6">
        <v>5</v>
      </c>
      <c r="B6" s="3" t="s">
        <v>1</v>
      </c>
      <c r="C6" s="15" t="s">
        <v>29</v>
      </c>
    </row>
    <row r="7" spans="1:3" x14ac:dyDescent="0.3">
      <c r="A7">
        <v>6</v>
      </c>
      <c r="B7" s="3" t="s">
        <v>1</v>
      </c>
      <c r="C7" s="15" t="s">
        <v>29</v>
      </c>
    </row>
    <row r="8" spans="1:3" x14ac:dyDescent="0.3">
      <c r="A8">
        <v>7</v>
      </c>
      <c r="B8" s="3" t="s">
        <v>0</v>
      </c>
      <c r="C8" s="15" t="s">
        <v>28</v>
      </c>
    </row>
    <row r="9" spans="1:3" x14ac:dyDescent="0.3">
      <c r="A9">
        <v>8</v>
      </c>
      <c r="B9" s="3" t="s">
        <v>0</v>
      </c>
      <c r="C9" s="15" t="s">
        <v>28</v>
      </c>
    </row>
    <row r="10" spans="1:3" x14ac:dyDescent="0.3">
      <c r="A10">
        <v>9</v>
      </c>
      <c r="B10" s="3" t="s">
        <v>0</v>
      </c>
      <c r="C10" s="15" t="s">
        <v>28</v>
      </c>
    </row>
    <row r="11" spans="1:3" x14ac:dyDescent="0.3">
      <c r="A11">
        <v>10</v>
      </c>
      <c r="B11" s="3" t="s">
        <v>0</v>
      </c>
      <c r="C11" s="15" t="s">
        <v>28</v>
      </c>
    </row>
    <row r="12" spans="1:3" x14ac:dyDescent="0.3">
      <c r="A12">
        <v>11</v>
      </c>
      <c r="B12" s="3" t="s">
        <v>1</v>
      </c>
      <c r="C12" s="15" t="s">
        <v>29</v>
      </c>
    </row>
    <row r="13" spans="1:3" x14ac:dyDescent="0.3">
      <c r="A13">
        <v>12</v>
      </c>
      <c r="B13" s="3" t="s">
        <v>0</v>
      </c>
      <c r="C13" s="15" t="s">
        <v>28</v>
      </c>
    </row>
    <row r="14" spans="1:3" x14ac:dyDescent="0.3">
      <c r="A14">
        <v>13</v>
      </c>
      <c r="B14" s="3" t="s">
        <v>0</v>
      </c>
      <c r="C14" s="15" t="s">
        <v>28</v>
      </c>
    </row>
    <row r="15" spans="1:3" x14ac:dyDescent="0.3">
      <c r="A15">
        <v>14</v>
      </c>
      <c r="B15" s="3" t="s">
        <v>0</v>
      </c>
      <c r="C15" s="15" t="s">
        <v>28</v>
      </c>
    </row>
    <row r="16" spans="1:3" x14ac:dyDescent="0.3">
      <c r="A16">
        <v>15</v>
      </c>
      <c r="B16" s="3" t="s">
        <v>0</v>
      </c>
      <c r="C16" s="15" t="s">
        <v>28</v>
      </c>
    </row>
    <row r="17" spans="2:2" x14ac:dyDescent="0.3"/>
    <row r="21" spans="2:2" hidden="1" x14ac:dyDescent="0.3">
      <c r="B21" s="4"/>
    </row>
    <row r="77" spans="2:2" hidden="1" x14ac:dyDescent="0.3">
      <c r="B77" s="3"/>
    </row>
    <row r="78" spans="2:2" hidden="1" x14ac:dyDescent="0.3">
      <c r="B78" s="3"/>
    </row>
    <row r="79" spans="2:2" hidden="1" x14ac:dyDescent="0.3">
      <c r="B79" s="3"/>
    </row>
    <row r="82" spans="2:2" hidden="1" x14ac:dyDescent="0.3">
      <c r="B82" s="3"/>
    </row>
    <row r="83" spans="2:2" hidden="1" x14ac:dyDescent="0.3">
      <c r="B83" s="3"/>
    </row>
    <row r="88" spans="2:2" hidden="1" x14ac:dyDescent="0.3">
      <c r="B88" s="3"/>
    </row>
    <row r="106" spans="2:2" hidden="1" x14ac:dyDescent="0.3">
      <c r="B106" s="3"/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490D4-B083-427A-A4B1-51F976E85B22}">
  <dimension ref="A1:C22"/>
  <sheetViews>
    <sheetView topLeftCell="A3" zoomScale="130" zoomScaleNormal="130" workbookViewId="0">
      <selection activeCell="A18" sqref="A18:XFD1048576"/>
    </sheetView>
  </sheetViews>
  <sheetFormatPr defaultColWidth="0" defaultRowHeight="14.4" zeroHeight="1" x14ac:dyDescent="0.3"/>
  <cols>
    <col min="1" max="1" width="9" customWidth="1"/>
    <col min="2" max="2" width="137.3984375" customWidth="1"/>
    <col min="3" max="3" width="15.5" bestFit="1" customWidth="1"/>
    <col min="4" max="16384" width="9" hidden="1"/>
  </cols>
  <sheetData>
    <row r="1" spans="1:3" x14ac:dyDescent="0.3">
      <c r="A1" s="1" t="s">
        <v>2</v>
      </c>
      <c r="B1" s="1" t="s">
        <v>3</v>
      </c>
      <c r="C1" s="1" t="s">
        <v>27</v>
      </c>
    </row>
    <row r="2" spans="1:3" x14ac:dyDescent="0.3">
      <c r="A2" s="2">
        <v>1</v>
      </c>
      <c r="B2" s="2" t="s">
        <v>0</v>
      </c>
      <c r="C2" s="2" t="s">
        <v>28</v>
      </c>
    </row>
    <row r="3" spans="1:3" x14ac:dyDescent="0.3">
      <c r="A3" s="2">
        <v>2</v>
      </c>
      <c r="B3" s="2" t="s">
        <v>0</v>
      </c>
      <c r="C3" s="2" t="s">
        <v>28</v>
      </c>
    </row>
    <row r="4" spans="1:3" x14ac:dyDescent="0.3">
      <c r="A4" s="2">
        <v>3</v>
      </c>
      <c r="B4" s="2" t="s">
        <v>1</v>
      </c>
      <c r="C4" s="2" t="s">
        <v>29</v>
      </c>
    </row>
    <row r="5" spans="1:3" x14ac:dyDescent="0.3">
      <c r="A5" s="2">
        <v>4</v>
      </c>
      <c r="B5" s="2" t="s">
        <v>1</v>
      </c>
      <c r="C5" s="2" t="s">
        <v>29</v>
      </c>
    </row>
    <row r="6" spans="1:3" x14ac:dyDescent="0.3">
      <c r="A6" s="2">
        <v>5</v>
      </c>
      <c r="B6" s="2" t="s">
        <v>1</v>
      </c>
      <c r="C6" s="2" t="s">
        <v>29</v>
      </c>
    </row>
    <row r="7" spans="1:3" x14ac:dyDescent="0.3">
      <c r="A7" s="2">
        <v>6</v>
      </c>
      <c r="B7" s="2" t="s">
        <v>1</v>
      </c>
      <c r="C7" s="2" t="s">
        <v>29</v>
      </c>
    </row>
    <row r="8" spans="1:3" x14ac:dyDescent="0.3">
      <c r="A8" s="2">
        <v>7</v>
      </c>
      <c r="B8" s="2" t="s">
        <v>1</v>
      </c>
      <c r="C8" s="2" t="s">
        <v>29</v>
      </c>
    </row>
    <row r="9" spans="1:3" x14ac:dyDescent="0.3">
      <c r="A9" s="2">
        <v>8</v>
      </c>
      <c r="B9" s="2" t="s">
        <v>1</v>
      </c>
      <c r="C9" s="2" t="s">
        <v>29</v>
      </c>
    </row>
    <row r="10" spans="1:3" x14ac:dyDescent="0.3">
      <c r="A10" s="2">
        <v>9</v>
      </c>
      <c r="B10" s="2" t="s">
        <v>0</v>
      </c>
      <c r="C10" s="2" t="s">
        <v>28</v>
      </c>
    </row>
    <row r="11" spans="1:3" x14ac:dyDescent="0.3">
      <c r="A11" s="2">
        <v>10</v>
      </c>
      <c r="B11" s="2" t="s">
        <v>0</v>
      </c>
      <c r="C11" s="2" t="s">
        <v>28</v>
      </c>
    </row>
    <row r="12" spans="1:3" x14ac:dyDescent="0.3">
      <c r="A12" s="2">
        <v>11</v>
      </c>
      <c r="B12" s="2" t="s">
        <v>0</v>
      </c>
      <c r="C12" s="2" t="s">
        <v>28</v>
      </c>
    </row>
    <row r="13" spans="1:3" x14ac:dyDescent="0.3">
      <c r="A13" s="2">
        <v>12</v>
      </c>
      <c r="B13" s="2" t="s">
        <v>0</v>
      </c>
      <c r="C13" s="2" t="s">
        <v>28</v>
      </c>
    </row>
    <row r="14" spans="1:3" x14ac:dyDescent="0.3">
      <c r="A14" s="2">
        <v>13</v>
      </c>
      <c r="B14" s="2" t="s">
        <v>0</v>
      </c>
      <c r="C14" s="2" t="s">
        <v>28</v>
      </c>
    </row>
    <row r="15" spans="1:3" x14ac:dyDescent="0.3">
      <c r="A15" s="2">
        <v>14</v>
      </c>
      <c r="B15" s="2" t="s">
        <v>0</v>
      </c>
      <c r="C15" s="2" t="s">
        <v>28</v>
      </c>
    </row>
    <row r="16" spans="1:3" x14ac:dyDescent="0.3">
      <c r="A16" s="2">
        <v>15</v>
      </c>
      <c r="B16" s="2" t="s">
        <v>0</v>
      </c>
      <c r="C16" s="2" t="s">
        <v>28</v>
      </c>
    </row>
    <row r="17" spans="1:3" x14ac:dyDescent="0.3"/>
    <row r="22" spans="1:3" hidden="1" x14ac:dyDescent="0.3">
      <c r="A22" s="26"/>
      <c r="B22" s="26"/>
      <c r="C22" s="26"/>
    </row>
  </sheetData>
  <mergeCells count="1">
    <mergeCell ref="A22:C22"/>
  </mergeCells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24E40-2974-4387-B9D8-E0CFF17AD347}">
  <dimension ref="A1:C105"/>
  <sheetViews>
    <sheetView topLeftCell="A3" zoomScale="130" zoomScaleNormal="130" workbookViewId="0">
      <selection activeCell="A18" sqref="A18:XFD1048576"/>
    </sheetView>
  </sheetViews>
  <sheetFormatPr defaultColWidth="0" defaultRowHeight="14.4" zeroHeight="1" x14ac:dyDescent="0.3"/>
  <cols>
    <col min="1" max="1" width="8.796875" customWidth="1"/>
    <col min="2" max="2" width="82" customWidth="1"/>
    <col min="3" max="3" width="15.5" bestFit="1" customWidth="1"/>
    <col min="4" max="16384" width="8.796875" hidden="1"/>
  </cols>
  <sheetData>
    <row r="1" spans="1:3" x14ac:dyDescent="0.3">
      <c r="A1" s="1" t="s">
        <v>2</v>
      </c>
      <c r="B1" s="1" t="s">
        <v>3</v>
      </c>
      <c r="C1" s="1" t="s">
        <v>27</v>
      </c>
    </row>
    <row r="2" spans="1:3" x14ac:dyDescent="0.3">
      <c r="A2" s="2">
        <v>1</v>
      </c>
      <c r="B2" s="3" t="s">
        <v>0</v>
      </c>
      <c r="C2" s="16" t="s">
        <v>28</v>
      </c>
    </row>
    <row r="3" spans="1:3" x14ac:dyDescent="0.3">
      <c r="A3" s="2">
        <v>2</v>
      </c>
      <c r="B3" s="3" t="s">
        <v>0</v>
      </c>
      <c r="C3" s="16" t="s">
        <v>28</v>
      </c>
    </row>
    <row r="4" spans="1:3" x14ac:dyDescent="0.3">
      <c r="A4" s="2">
        <v>3</v>
      </c>
      <c r="B4" s="3" t="s">
        <v>0</v>
      </c>
      <c r="C4" s="16" t="s">
        <v>28</v>
      </c>
    </row>
    <row r="5" spans="1:3" x14ac:dyDescent="0.3">
      <c r="A5" s="2">
        <v>4</v>
      </c>
      <c r="B5" s="3" t="s">
        <v>0</v>
      </c>
      <c r="C5" s="16" t="s">
        <v>28</v>
      </c>
    </row>
    <row r="6" spans="1:3" x14ac:dyDescent="0.3">
      <c r="A6" s="2">
        <v>5</v>
      </c>
      <c r="B6" s="3" t="s">
        <v>0</v>
      </c>
      <c r="C6" s="16" t="s">
        <v>28</v>
      </c>
    </row>
    <row r="7" spans="1:3" x14ac:dyDescent="0.3">
      <c r="A7" s="2">
        <v>6</v>
      </c>
      <c r="B7" s="3" t="s">
        <v>0</v>
      </c>
      <c r="C7" s="16" t="s">
        <v>28</v>
      </c>
    </row>
    <row r="8" spans="1:3" x14ac:dyDescent="0.3">
      <c r="A8" s="2">
        <v>7</v>
      </c>
      <c r="B8" s="3" t="s">
        <v>0</v>
      </c>
      <c r="C8" s="16" t="s">
        <v>28</v>
      </c>
    </row>
    <row r="9" spans="1:3" x14ac:dyDescent="0.3">
      <c r="A9" s="2">
        <v>8</v>
      </c>
      <c r="B9" s="3" t="s">
        <v>0</v>
      </c>
      <c r="C9" s="16" t="s">
        <v>28</v>
      </c>
    </row>
    <row r="10" spans="1:3" x14ac:dyDescent="0.3">
      <c r="A10" s="2">
        <v>9</v>
      </c>
      <c r="B10" s="3" t="s">
        <v>0</v>
      </c>
      <c r="C10" s="16" t="s">
        <v>28</v>
      </c>
    </row>
    <row r="11" spans="1:3" x14ac:dyDescent="0.3">
      <c r="A11" s="2">
        <v>10</v>
      </c>
      <c r="B11" s="3" t="s">
        <v>0</v>
      </c>
      <c r="C11" s="16" t="s">
        <v>28</v>
      </c>
    </row>
    <row r="12" spans="1:3" x14ac:dyDescent="0.3">
      <c r="A12" s="2">
        <v>11</v>
      </c>
      <c r="B12" s="3" t="s">
        <v>0</v>
      </c>
      <c r="C12" s="16" t="s">
        <v>28</v>
      </c>
    </row>
    <row r="13" spans="1:3" x14ac:dyDescent="0.3">
      <c r="A13" s="2">
        <v>12</v>
      </c>
      <c r="B13" s="3" t="s">
        <v>0</v>
      </c>
      <c r="C13" s="16" t="s">
        <v>28</v>
      </c>
    </row>
    <row r="14" spans="1:3" x14ac:dyDescent="0.3">
      <c r="A14" s="2">
        <v>13</v>
      </c>
      <c r="B14" s="3" t="s">
        <v>0</v>
      </c>
      <c r="C14" s="16" t="s">
        <v>28</v>
      </c>
    </row>
    <row r="15" spans="1:3" x14ac:dyDescent="0.3">
      <c r="A15" s="2">
        <v>14</v>
      </c>
      <c r="B15" s="3" t="s">
        <v>0</v>
      </c>
      <c r="C15" s="16" t="s">
        <v>28</v>
      </c>
    </row>
    <row r="16" spans="1:3" x14ac:dyDescent="0.3">
      <c r="A16" s="2">
        <v>15</v>
      </c>
      <c r="B16" s="3" t="s">
        <v>0</v>
      </c>
      <c r="C16" s="16" t="s">
        <v>28</v>
      </c>
    </row>
    <row r="17" spans="1:3" x14ac:dyDescent="0.3"/>
    <row r="22" spans="1:3" hidden="1" x14ac:dyDescent="0.3">
      <c r="A22" s="26"/>
      <c r="B22" s="26"/>
      <c r="C22" s="26"/>
    </row>
    <row r="105" spans="1:3" hidden="1" x14ac:dyDescent="0.3">
      <c r="A105" s="2"/>
      <c r="B105" s="3"/>
      <c r="C105" s="3"/>
    </row>
  </sheetData>
  <mergeCells count="1">
    <mergeCell ref="A22:C22"/>
  </mergeCells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FD0B5-BE59-4CE8-9706-B8DEE1DE92EA}">
  <dimension ref="A1:C21"/>
  <sheetViews>
    <sheetView topLeftCell="A6" zoomScale="160" zoomScaleNormal="160" workbookViewId="0">
      <selection activeCell="A18" sqref="A18:XFD1048576"/>
    </sheetView>
  </sheetViews>
  <sheetFormatPr defaultColWidth="0" defaultRowHeight="14.4" zeroHeight="1" x14ac:dyDescent="0.3"/>
  <cols>
    <col min="1" max="1" width="8.796875" customWidth="1"/>
    <col min="2" max="2" width="102.8984375" customWidth="1"/>
    <col min="3" max="3" width="15.5" bestFit="1" customWidth="1"/>
    <col min="4" max="16384" width="8.796875" hidden="1"/>
  </cols>
  <sheetData>
    <row r="1" spans="1:3" x14ac:dyDescent="0.3">
      <c r="A1" s="1" t="s">
        <v>2</v>
      </c>
      <c r="B1" s="1" t="s">
        <v>3</v>
      </c>
      <c r="C1" s="1" t="s">
        <v>27</v>
      </c>
    </row>
    <row r="2" spans="1:3" x14ac:dyDescent="0.3">
      <c r="A2">
        <v>1</v>
      </c>
      <c r="B2" s="2" t="s">
        <v>0</v>
      </c>
      <c r="C2" s="15" t="s">
        <v>28</v>
      </c>
    </row>
    <row r="3" spans="1:3" x14ac:dyDescent="0.3">
      <c r="A3">
        <v>2</v>
      </c>
      <c r="B3" s="2" t="s">
        <v>1</v>
      </c>
      <c r="C3" s="15" t="s">
        <v>29</v>
      </c>
    </row>
    <row r="4" spans="1:3" x14ac:dyDescent="0.3">
      <c r="A4">
        <v>3</v>
      </c>
      <c r="B4" s="2" t="s">
        <v>1</v>
      </c>
      <c r="C4" s="15" t="s">
        <v>29</v>
      </c>
    </row>
    <row r="5" spans="1:3" x14ac:dyDescent="0.3">
      <c r="A5">
        <v>4</v>
      </c>
      <c r="B5" s="2" t="s">
        <v>1</v>
      </c>
      <c r="C5" s="15" t="s">
        <v>29</v>
      </c>
    </row>
    <row r="6" spans="1:3" x14ac:dyDescent="0.3">
      <c r="A6">
        <v>5</v>
      </c>
      <c r="B6" s="2" t="s">
        <v>0</v>
      </c>
      <c r="C6" s="15" t="s">
        <v>28</v>
      </c>
    </row>
    <row r="7" spans="1:3" x14ac:dyDescent="0.3">
      <c r="A7">
        <v>6</v>
      </c>
      <c r="B7" s="2" t="s">
        <v>0</v>
      </c>
      <c r="C7" s="15" t="s">
        <v>28</v>
      </c>
    </row>
    <row r="8" spans="1:3" x14ac:dyDescent="0.3">
      <c r="A8">
        <v>7</v>
      </c>
      <c r="B8" s="2" t="s">
        <v>0</v>
      </c>
      <c r="C8" s="15" t="s">
        <v>28</v>
      </c>
    </row>
    <row r="9" spans="1:3" x14ac:dyDescent="0.3">
      <c r="A9">
        <v>8</v>
      </c>
      <c r="B9" s="2" t="s">
        <v>0</v>
      </c>
      <c r="C9" s="15" t="s">
        <v>28</v>
      </c>
    </row>
    <row r="10" spans="1:3" x14ac:dyDescent="0.3">
      <c r="A10">
        <v>9</v>
      </c>
      <c r="B10" s="2" t="s">
        <v>0</v>
      </c>
      <c r="C10" s="15" t="s">
        <v>28</v>
      </c>
    </row>
    <row r="11" spans="1:3" x14ac:dyDescent="0.3">
      <c r="A11">
        <v>10</v>
      </c>
      <c r="B11" s="2" t="s">
        <v>0</v>
      </c>
      <c r="C11" s="15" t="s">
        <v>28</v>
      </c>
    </row>
    <row r="12" spans="1:3" x14ac:dyDescent="0.3">
      <c r="A12">
        <v>11</v>
      </c>
      <c r="B12" s="2" t="s">
        <v>0</v>
      </c>
      <c r="C12" s="15" t="s">
        <v>28</v>
      </c>
    </row>
    <row r="13" spans="1:3" x14ac:dyDescent="0.3">
      <c r="A13">
        <v>12</v>
      </c>
      <c r="B13" s="2" t="s">
        <v>0</v>
      </c>
      <c r="C13" s="15" t="s">
        <v>28</v>
      </c>
    </row>
    <row r="14" spans="1:3" x14ac:dyDescent="0.3">
      <c r="A14">
        <v>13</v>
      </c>
      <c r="B14" s="2" t="s">
        <v>0</v>
      </c>
      <c r="C14" s="15" t="s">
        <v>28</v>
      </c>
    </row>
    <row r="15" spans="1:3" x14ac:dyDescent="0.3">
      <c r="A15">
        <v>14</v>
      </c>
      <c r="B15" s="2" t="s">
        <v>0</v>
      </c>
      <c r="C15" s="15" t="s">
        <v>28</v>
      </c>
    </row>
    <row r="16" spans="1:3" x14ac:dyDescent="0.3">
      <c r="A16">
        <v>15</v>
      </c>
      <c r="B16" s="2" t="s">
        <v>0</v>
      </c>
      <c r="C16" s="15" t="s">
        <v>28</v>
      </c>
    </row>
    <row r="17" spans="2:2" x14ac:dyDescent="0.3"/>
    <row r="21" spans="2:2" hidden="1" x14ac:dyDescent="0.3">
      <c r="B21" s="4"/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E3CC-17EB-4B6E-B611-5132108C699C}">
  <dimension ref="A1:C22"/>
  <sheetViews>
    <sheetView zoomScale="115" zoomScaleNormal="115" workbookViewId="0">
      <selection activeCell="A18" sqref="A18:XFD1048576"/>
    </sheetView>
  </sheetViews>
  <sheetFormatPr defaultColWidth="0" defaultRowHeight="14.4" zeroHeight="1" x14ac:dyDescent="0.3"/>
  <cols>
    <col min="1" max="1" width="8.796875" customWidth="1"/>
    <col min="2" max="2" width="144.09765625" customWidth="1"/>
    <col min="3" max="3" width="15.5" bestFit="1" customWidth="1"/>
    <col min="4" max="16384" width="8.796875" hidden="1"/>
  </cols>
  <sheetData>
    <row r="1" spans="1:3" x14ac:dyDescent="0.3">
      <c r="A1" s="1" t="s">
        <v>2</v>
      </c>
      <c r="B1" s="1" t="s">
        <v>3</v>
      </c>
      <c r="C1" s="1" t="s">
        <v>27</v>
      </c>
    </row>
    <row r="2" spans="1:3" x14ac:dyDescent="0.3">
      <c r="A2" s="3">
        <v>1</v>
      </c>
      <c r="B2" s="2" t="s">
        <v>1</v>
      </c>
      <c r="C2" s="15" t="s">
        <v>29</v>
      </c>
    </row>
    <row r="3" spans="1:3" x14ac:dyDescent="0.3">
      <c r="A3" s="3">
        <v>2</v>
      </c>
      <c r="B3" s="2" t="s">
        <v>0</v>
      </c>
      <c r="C3" s="15" t="s">
        <v>28</v>
      </c>
    </row>
    <row r="4" spans="1:3" x14ac:dyDescent="0.3">
      <c r="A4" s="3">
        <v>3</v>
      </c>
      <c r="B4" s="2" t="s">
        <v>0</v>
      </c>
      <c r="C4" s="15" t="s">
        <v>28</v>
      </c>
    </row>
    <row r="5" spans="1:3" x14ac:dyDescent="0.3">
      <c r="A5" s="3">
        <v>4</v>
      </c>
      <c r="B5" s="2" t="s">
        <v>0</v>
      </c>
      <c r="C5" s="15" t="s">
        <v>28</v>
      </c>
    </row>
    <row r="6" spans="1:3" x14ac:dyDescent="0.3">
      <c r="A6" s="3">
        <v>5</v>
      </c>
      <c r="B6" s="2" t="s">
        <v>0</v>
      </c>
      <c r="C6" s="15" t="s">
        <v>28</v>
      </c>
    </row>
    <row r="7" spans="1:3" x14ac:dyDescent="0.3">
      <c r="A7" s="3">
        <v>6</v>
      </c>
      <c r="B7" s="2" t="s">
        <v>0</v>
      </c>
      <c r="C7" s="15" t="s">
        <v>28</v>
      </c>
    </row>
    <row r="8" spans="1:3" x14ac:dyDescent="0.3">
      <c r="A8" s="3">
        <v>7</v>
      </c>
      <c r="B8" s="2" t="s">
        <v>0</v>
      </c>
      <c r="C8" s="15" t="s">
        <v>28</v>
      </c>
    </row>
    <row r="9" spans="1:3" x14ac:dyDescent="0.3">
      <c r="A9" s="3">
        <v>8</v>
      </c>
      <c r="B9" s="2" t="s">
        <v>0</v>
      </c>
      <c r="C9" s="15" t="s">
        <v>29</v>
      </c>
    </row>
    <row r="10" spans="1:3" x14ac:dyDescent="0.3">
      <c r="A10" s="3">
        <v>9</v>
      </c>
      <c r="B10" s="2" t="s">
        <v>0</v>
      </c>
      <c r="C10" s="15" t="s">
        <v>29</v>
      </c>
    </row>
    <row r="11" spans="1:3" x14ac:dyDescent="0.3">
      <c r="A11" s="3">
        <v>10</v>
      </c>
      <c r="B11" s="2" t="s">
        <v>1</v>
      </c>
      <c r="C11" s="15" t="s">
        <v>29</v>
      </c>
    </row>
    <row r="12" spans="1:3" x14ac:dyDescent="0.3">
      <c r="A12" s="3">
        <v>11</v>
      </c>
      <c r="B12" s="2" t="s">
        <v>1</v>
      </c>
      <c r="C12" s="15" t="s">
        <v>29</v>
      </c>
    </row>
    <row r="13" spans="1:3" x14ac:dyDescent="0.3">
      <c r="A13" s="3">
        <v>12</v>
      </c>
      <c r="B13" s="2" t="s">
        <v>0</v>
      </c>
      <c r="C13" s="15" t="s">
        <v>28</v>
      </c>
    </row>
    <row r="14" spans="1:3" x14ac:dyDescent="0.3">
      <c r="A14" s="3">
        <v>13</v>
      </c>
      <c r="B14" s="2" t="s">
        <v>0</v>
      </c>
      <c r="C14" s="15" t="s">
        <v>28</v>
      </c>
    </row>
    <row r="15" spans="1:3" x14ac:dyDescent="0.3">
      <c r="A15" s="3">
        <v>14</v>
      </c>
      <c r="B15" s="2" t="s">
        <v>0</v>
      </c>
      <c r="C15" s="15" t="s">
        <v>28</v>
      </c>
    </row>
    <row r="16" spans="1:3" x14ac:dyDescent="0.3">
      <c r="A16" s="3">
        <v>15</v>
      </c>
      <c r="B16" s="2" t="s">
        <v>0</v>
      </c>
      <c r="C16" s="15" t="s">
        <v>28</v>
      </c>
    </row>
    <row r="17" spans="1:3" x14ac:dyDescent="0.3"/>
    <row r="22" spans="1:3" hidden="1" x14ac:dyDescent="0.3">
      <c r="A22" s="26"/>
      <c r="B22" s="26"/>
      <c r="C22" s="26"/>
    </row>
  </sheetData>
  <mergeCells count="1">
    <mergeCell ref="A22:C22"/>
  </mergeCells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2B151-8E13-4758-8D64-857443EDB8CA}">
  <dimension ref="A1:D23"/>
  <sheetViews>
    <sheetView zoomScaleNormal="100" workbookViewId="0">
      <selection activeCell="A18" sqref="A18:XFD1048576"/>
    </sheetView>
  </sheetViews>
  <sheetFormatPr defaultColWidth="0" defaultRowHeight="14.4" zeroHeight="1" x14ac:dyDescent="0.3"/>
  <cols>
    <col min="1" max="1" width="8.796875" customWidth="1"/>
    <col min="2" max="2" width="138.59765625" customWidth="1"/>
    <col min="3" max="3" width="15.5" bestFit="1" customWidth="1"/>
    <col min="4" max="4" width="8.796875" customWidth="1"/>
    <col min="5" max="16384" width="8.796875" hidden="1"/>
  </cols>
  <sheetData>
    <row r="1" spans="1:4" x14ac:dyDescent="0.3">
      <c r="A1" s="1" t="s">
        <v>2</v>
      </c>
      <c r="B1" s="1" t="s">
        <v>3</v>
      </c>
      <c r="C1" s="1" t="s">
        <v>27</v>
      </c>
      <c r="D1" s="1"/>
    </row>
    <row r="2" spans="1:4" x14ac:dyDescent="0.3">
      <c r="A2">
        <v>1</v>
      </c>
      <c r="B2" s="3" t="s">
        <v>1</v>
      </c>
      <c r="C2" s="16" t="s">
        <v>29</v>
      </c>
      <c r="D2" s="2"/>
    </row>
    <row r="3" spans="1:4" x14ac:dyDescent="0.3">
      <c r="A3">
        <v>2</v>
      </c>
      <c r="B3" s="3" t="s">
        <v>1</v>
      </c>
      <c r="C3" s="16" t="s">
        <v>29</v>
      </c>
      <c r="D3" s="2"/>
    </row>
    <row r="4" spans="1:4" x14ac:dyDescent="0.3">
      <c r="A4">
        <v>3</v>
      </c>
      <c r="B4" s="3" t="s">
        <v>0</v>
      </c>
      <c r="C4" s="16" t="s">
        <v>29</v>
      </c>
      <c r="D4" s="2"/>
    </row>
    <row r="5" spans="1:4" x14ac:dyDescent="0.3">
      <c r="A5">
        <v>4</v>
      </c>
      <c r="B5" s="3" t="s">
        <v>0</v>
      </c>
      <c r="C5" s="16" t="s">
        <v>28</v>
      </c>
      <c r="D5" s="2"/>
    </row>
    <row r="6" spans="1:4" x14ac:dyDescent="0.3">
      <c r="A6">
        <v>5</v>
      </c>
      <c r="B6" s="3" t="s">
        <v>0</v>
      </c>
      <c r="C6" s="16" t="s">
        <v>28</v>
      </c>
      <c r="D6" s="2"/>
    </row>
    <row r="7" spans="1:4" x14ac:dyDescent="0.3">
      <c r="A7">
        <v>6</v>
      </c>
      <c r="B7" s="3" t="s">
        <v>0</v>
      </c>
      <c r="C7" s="16" t="s">
        <v>28</v>
      </c>
      <c r="D7" s="2"/>
    </row>
    <row r="8" spans="1:4" x14ac:dyDescent="0.3">
      <c r="A8">
        <v>7</v>
      </c>
      <c r="B8" s="3" t="s">
        <v>0</v>
      </c>
      <c r="C8" s="16" t="s">
        <v>28</v>
      </c>
      <c r="D8" s="2"/>
    </row>
    <row r="9" spans="1:4" x14ac:dyDescent="0.3">
      <c r="A9">
        <v>8</v>
      </c>
      <c r="B9" s="3" t="s">
        <v>0</v>
      </c>
      <c r="C9" s="16" t="s">
        <v>29</v>
      </c>
      <c r="D9" s="2"/>
    </row>
    <row r="10" spans="1:4" x14ac:dyDescent="0.3">
      <c r="A10">
        <v>9</v>
      </c>
      <c r="B10" s="3" t="s">
        <v>0</v>
      </c>
      <c r="C10" s="16" t="s">
        <v>29</v>
      </c>
      <c r="D10" s="2"/>
    </row>
    <row r="11" spans="1:4" x14ac:dyDescent="0.3">
      <c r="A11">
        <v>10</v>
      </c>
      <c r="B11" s="3" t="s">
        <v>0</v>
      </c>
      <c r="C11" s="16" t="s">
        <v>29</v>
      </c>
      <c r="D11" s="2"/>
    </row>
    <row r="12" spans="1:4" x14ac:dyDescent="0.3">
      <c r="A12">
        <v>11</v>
      </c>
      <c r="B12" s="3" t="s">
        <v>0</v>
      </c>
      <c r="C12" s="16" t="s">
        <v>29</v>
      </c>
      <c r="D12" s="2"/>
    </row>
    <row r="13" spans="1:4" x14ac:dyDescent="0.3">
      <c r="A13">
        <v>12</v>
      </c>
      <c r="B13" s="3" t="s">
        <v>0</v>
      </c>
      <c r="C13" s="16" t="s">
        <v>28</v>
      </c>
      <c r="D13" s="2"/>
    </row>
    <row r="14" spans="1:4" x14ac:dyDescent="0.3">
      <c r="A14">
        <v>13</v>
      </c>
      <c r="B14" s="3" t="s">
        <v>0</v>
      </c>
      <c r="C14" s="16" t="s">
        <v>28</v>
      </c>
      <c r="D14" s="2"/>
    </row>
    <row r="15" spans="1:4" x14ac:dyDescent="0.3">
      <c r="A15">
        <v>14</v>
      </c>
      <c r="B15" s="3" t="s">
        <v>0</v>
      </c>
      <c r="C15" s="16" t="s">
        <v>29</v>
      </c>
      <c r="D15" s="2"/>
    </row>
    <row r="16" spans="1:4" x14ac:dyDescent="0.3">
      <c r="A16">
        <v>15</v>
      </c>
      <c r="B16" s="3" t="s">
        <v>0</v>
      </c>
      <c r="C16" s="16" t="s">
        <v>29</v>
      </c>
      <c r="D16" s="2"/>
    </row>
    <row r="17" spans="2:4" x14ac:dyDescent="0.3"/>
    <row r="23" spans="2:4" hidden="1" x14ac:dyDescent="0.3">
      <c r="B23" s="26"/>
      <c r="C23" s="26"/>
      <c r="D23" s="26"/>
    </row>
  </sheetData>
  <mergeCells count="1">
    <mergeCell ref="B23:D23"/>
  </mergeCells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11F18-245C-4155-80DD-9BF312126B7D}">
  <dimension ref="A1:D23"/>
  <sheetViews>
    <sheetView zoomScale="115" zoomScaleNormal="115" workbookViewId="0">
      <selection activeCell="A18" sqref="A18:XFD1048576"/>
    </sheetView>
  </sheetViews>
  <sheetFormatPr defaultColWidth="0" defaultRowHeight="14.4" zeroHeight="1" x14ac:dyDescent="0.3"/>
  <cols>
    <col min="1" max="1" width="8.796875" customWidth="1"/>
    <col min="2" max="2" width="143.3984375" customWidth="1"/>
    <col min="3" max="3" width="15.5" bestFit="1" customWidth="1"/>
    <col min="4" max="4" width="8.796875" customWidth="1"/>
    <col min="5" max="16384" width="8.796875" hidden="1"/>
  </cols>
  <sheetData>
    <row r="1" spans="1:4" x14ac:dyDescent="0.3">
      <c r="A1" s="1" t="s">
        <v>2</v>
      </c>
      <c r="B1" s="1" t="s">
        <v>3</v>
      </c>
      <c r="C1" s="1" t="s">
        <v>27</v>
      </c>
      <c r="D1" s="1"/>
    </row>
    <row r="2" spans="1:4" x14ac:dyDescent="0.3">
      <c r="A2">
        <v>1</v>
      </c>
      <c r="B2" s="2" t="s">
        <v>0</v>
      </c>
      <c r="C2" s="16" t="s">
        <v>28</v>
      </c>
      <c r="D2" s="3"/>
    </row>
    <row r="3" spans="1:4" x14ac:dyDescent="0.3">
      <c r="A3">
        <v>2</v>
      </c>
      <c r="B3" s="2" t="s">
        <v>0</v>
      </c>
      <c r="C3" s="16" t="s">
        <v>28</v>
      </c>
      <c r="D3" s="3"/>
    </row>
    <row r="4" spans="1:4" x14ac:dyDescent="0.3">
      <c r="A4">
        <v>3</v>
      </c>
      <c r="B4" s="2" t="s">
        <v>0</v>
      </c>
      <c r="C4" s="16" t="s">
        <v>28</v>
      </c>
      <c r="D4" s="3"/>
    </row>
    <row r="5" spans="1:4" x14ac:dyDescent="0.3">
      <c r="A5">
        <v>4</v>
      </c>
      <c r="B5" s="2" t="s">
        <v>0</v>
      </c>
      <c r="C5" s="16" t="s">
        <v>28</v>
      </c>
      <c r="D5" s="3"/>
    </row>
    <row r="6" spans="1:4" x14ac:dyDescent="0.3">
      <c r="A6">
        <v>5</v>
      </c>
      <c r="B6" s="2" t="s">
        <v>0</v>
      </c>
      <c r="C6" s="16" t="s">
        <v>28</v>
      </c>
      <c r="D6" s="3"/>
    </row>
    <row r="7" spans="1:4" x14ac:dyDescent="0.3">
      <c r="A7">
        <v>6</v>
      </c>
      <c r="B7" s="2" t="s">
        <v>0</v>
      </c>
      <c r="C7" s="16" t="s">
        <v>28</v>
      </c>
      <c r="D7" s="3"/>
    </row>
    <row r="8" spans="1:4" x14ac:dyDescent="0.3">
      <c r="A8">
        <v>7</v>
      </c>
      <c r="B8" s="2" t="s">
        <v>0</v>
      </c>
      <c r="C8" s="16" t="s">
        <v>28</v>
      </c>
      <c r="D8" s="3"/>
    </row>
    <row r="9" spans="1:4" x14ac:dyDescent="0.3">
      <c r="A9">
        <v>8</v>
      </c>
      <c r="B9" s="2" t="s">
        <v>0</v>
      </c>
      <c r="C9" s="16" t="s">
        <v>28</v>
      </c>
      <c r="D9" s="3"/>
    </row>
    <row r="10" spans="1:4" x14ac:dyDescent="0.3">
      <c r="A10">
        <v>9</v>
      </c>
      <c r="B10" s="2" t="s">
        <v>0</v>
      </c>
      <c r="C10" s="16" t="s">
        <v>28</v>
      </c>
      <c r="D10" s="3"/>
    </row>
    <row r="11" spans="1:4" x14ac:dyDescent="0.3">
      <c r="A11">
        <v>10</v>
      </c>
      <c r="B11" s="2" t="s">
        <v>0</v>
      </c>
      <c r="C11" s="16" t="s">
        <v>28</v>
      </c>
      <c r="D11" s="3"/>
    </row>
    <row r="12" spans="1:4" x14ac:dyDescent="0.3">
      <c r="A12">
        <v>11</v>
      </c>
      <c r="B12" s="2" t="s">
        <v>1</v>
      </c>
      <c r="C12" s="16" t="s">
        <v>29</v>
      </c>
      <c r="D12" s="3"/>
    </row>
    <row r="13" spans="1:4" x14ac:dyDescent="0.3">
      <c r="A13">
        <v>12</v>
      </c>
      <c r="B13" s="2" t="s">
        <v>0</v>
      </c>
      <c r="C13" s="16" t="s">
        <v>28</v>
      </c>
      <c r="D13" s="3"/>
    </row>
    <row r="14" spans="1:4" x14ac:dyDescent="0.3">
      <c r="A14">
        <v>13</v>
      </c>
      <c r="B14" s="2" t="s">
        <v>0</v>
      </c>
      <c r="C14" s="16" t="s">
        <v>28</v>
      </c>
      <c r="D14" s="3"/>
    </row>
    <row r="15" spans="1:4" x14ac:dyDescent="0.3">
      <c r="A15">
        <v>14</v>
      </c>
      <c r="B15" s="2" t="s">
        <v>0</v>
      </c>
      <c r="C15" s="16" t="s">
        <v>28</v>
      </c>
      <c r="D15" s="3"/>
    </row>
    <row r="16" spans="1:4" x14ac:dyDescent="0.3">
      <c r="A16">
        <v>15</v>
      </c>
      <c r="B16" s="2" t="s">
        <v>0</v>
      </c>
      <c r="C16" s="16" t="s">
        <v>28</v>
      </c>
      <c r="D16" s="3"/>
    </row>
    <row r="17" spans="2:4" x14ac:dyDescent="0.3"/>
    <row r="23" spans="2:4" hidden="1" x14ac:dyDescent="0.3">
      <c r="B23" s="26"/>
      <c r="C23" s="26"/>
      <c r="D23" s="26"/>
    </row>
  </sheetData>
  <mergeCells count="1">
    <mergeCell ref="B23:D23"/>
  </mergeCells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42C67-5D39-463E-9FFD-FFD01E7CB164}">
  <dimension ref="A1:C23"/>
  <sheetViews>
    <sheetView topLeftCell="A6" zoomScale="160" zoomScaleNormal="160" workbookViewId="0">
      <selection activeCell="A18" sqref="A18:XFD1048576"/>
    </sheetView>
  </sheetViews>
  <sheetFormatPr defaultColWidth="0" defaultRowHeight="14.4" zeroHeight="1" x14ac:dyDescent="0.3"/>
  <cols>
    <col min="1" max="1" width="8.796875" customWidth="1"/>
    <col min="2" max="2" width="106.09765625" customWidth="1"/>
    <col min="3" max="3" width="15.5" bestFit="1" customWidth="1"/>
    <col min="4" max="16384" width="8.796875" hidden="1"/>
  </cols>
  <sheetData>
    <row r="1" spans="1:3" x14ac:dyDescent="0.3">
      <c r="A1" s="1" t="s">
        <v>2</v>
      </c>
      <c r="B1" s="1" t="s">
        <v>3</v>
      </c>
      <c r="C1" s="1" t="s">
        <v>27</v>
      </c>
    </row>
    <row r="2" spans="1:3" x14ac:dyDescent="0.3">
      <c r="A2">
        <v>1</v>
      </c>
      <c r="B2" s="3" t="s">
        <v>0</v>
      </c>
      <c r="C2" s="16" t="s">
        <v>28</v>
      </c>
    </row>
    <row r="3" spans="1:3" x14ac:dyDescent="0.3">
      <c r="A3">
        <v>2</v>
      </c>
      <c r="B3" s="2" t="s">
        <v>1</v>
      </c>
      <c r="C3" s="16" t="s">
        <v>29</v>
      </c>
    </row>
    <row r="4" spans="1:3" x14ac:dyDescent="0.3">
      <c r="A4">
        <v>3</v>
      </c>
      <c r="B4" s="3" t="s">
        <v>0</v>
      </c>
      <c r="C4" s="16" t="s">
        <v>28</v>
      </c>
    </row>
    <row r="5" spans="1:3" x14ac:dyDescent="0.3">
      <c r="A5">
        <v>4</v>
      </c>
      <c r="B5" s="3" t="s">
        <v>0</v>
      </c>
      <c r="C5" s="16" t="s">
        <v>28</v>
      </c>
    </row>
    <row r="6" spans="1:3" x14ac:dyDescent="0.3">
      <c r="A6">
        <v>5</v>
      </c>
      <c r="B6" s="3" t="s">
        <v>0</v>
      </c>
      <c r="C6" s="16" t="s">
        <v>28</v>
      </c>
    </row>
    <row r="7" spans="1:3" x14ac:dyDescent="0.3">
      <c r="A7">
        <v>6</v>
      </c>
      <c r="B7" s="3" t="s">
        <v>0</v>
      </c>
      <c r="C7" s="16" t="s">
        <v>28</v>
      </c>
    </row>
    <row r="8" spans="1:3" x14ac:dyDescent="0.3">
      <c r="A8">
        <v>7</v>
      </c>
      <c r="B8" s="3" t="s">
        <v>0</v>
      </c>
      <c r="C8" s="16" t="s">
        <v>28</v>
      </c>
    </row>
    <row r="9" spans="1:3" x14ac:dyDescent="0.3">
      <c r="A9">
        <v>8</v>
      </c>
      <c r="B9" s="3" t="s">
        <v>0</v>
      </c>
      <c r="C9" s="16" t="s">
        <v>28</v>
      </c>
    </row>
    <row r="10" spans="1:3" x14ac:dyDescent="0.3">
      <c r="A10">
        <v>9</v>
      </c>
      <c r="B10" s="3" t="s">
        <v>0</v>
      </c>
      <c r="C10" s="16" t="s">
        <v>28</v>
      </c>
    </row>
    <row r="11" spans="1:3" x14ac:dyDescent="0.3">
      <c r="A11">
        <v>10</v>
      </c>
      <c r="B11" s="3" t="s">
        <v>0</v>
      </c>
      <c r="C11" s="16" t="s">
        <v>28</v>
      </c>
    </row>
    <row r="12" spans="1:3" x14ac:dyDescent="0.3">
      <c r="A12">
        <v>11</v>
      </c>
      <c r="B12" s="3" t="s">
        <v>0</v>
      </c>
      <c r="C12" s="16" t="s">
        <v>28</v>
      </c>
    </row>
    <row r="13" spans="1:3" x14ac:dyDescent="0.3">
      <c r="A13">
        <v>12</v>
      </c>
      <c r="B13" s="3" t="s">
        <v>0</v>
      </c>
      <c r="C13" s="16" t="s">
        <v>28</v>
      </c>
    </row>
    <row r="14" spans="1:3" x14ac:dyDescent="0.3">
      <c r="A14">
        <v>13</v>
      </c>
      <c r="B14" s="3" t="s">
        <v>0</v>
      </c>
      <c r="C14" s="16" t="s">
        <v>28</v>
      </c>
    </row>
    <row r="15" spans="1:3" x14ac:dyDescent="0.3">
      <c r="A15">
        <v>14</v>
      </c>
      <c r="B15" s="3" t="s">
        <v>0</v>
      </c>
      <c r="C15" s="16" t="s">
        <v>28</v>
      </c>
    </row>
    <row r="16" spans="1:3" x14ac:dyDescent="0.3">
      <c r="A16">
        <v>15</v>
      </c>
      <c r="B16" s="3" t="s">
        <v>0</v>
      </c>
      <c r="C16" s="16" t="s">
        <v>28</v>
      </c>
    </row>
    <row r="17" spans="2:3" x14ac:dyDescent="0.3"/>
    <row r="23" spans="2:3" hidden="1" x14ac:dyDescent="0.3">
      <c r="B23" s="26"/>
      <c r="C23" s="26"/>
    </row>
  </sheetData>
  <mergeCells count="1">
    <mergeCell ref="B23:C23"/>
  </mergeCells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E2CD9-1989-454E-85BE-1B1A393FA899}">
  <dimension ref="A1:C96"/>
  <sheetViews>
    <sheetView zoomScale="115" zoomScaleNormal="115" workbookViewId="0">
      <selection activeCell="A18" sqref="A18:XFD1048576"/>
    </sheetView>
  </sheetViews>
  <sheetFormatPr defaultColWidth="0" defaultRowHeight="14.4" zeroHeight="1" x14ac:dyDescent="0.3"/>
  <cols>
    <col min="1" max="1" width="8.796875" customWidth="1"/>
    <col min="2" max="2" width="139.8984375" customWidth="1"/>
    <col min="3" max="3" width="15.5" bestFit="1" customWidth="1"/>
    <col min="4" max="16384" width="8.796875" hidden="1"/>
  </cols>
  <sheetData>
    <row r="1" spans="1:3" x14ac:dyDescent="0.3">
      <c r="A1" s="1" t="s">
        <v>2</v>
      </c>
      <c r="B1" s="1" t="s">
        <v>3</v>
      </c>
      <c r="C1" s="1" t="s">
        <v>27</v>
      </c>
    </row>
    <row r="2" spans="1:3" x14ac:dyDescent="0.3">
      <c r="A2">
        <v>1</v>
      </c>
      <c r="B2" s="3" t="s">
        <v>0</v>
      </c>
      <c r="C2" s="15" t="s">
        <v>28</v>
      </c>
    </row>
    <row r="3" spans="1:3" x14ac:dyDescent="0.3">
      <c r="A3">
        <v>2</v>
      </c>
      <c r="B3" s="3" t="s">
        <v>0</v>
      </c>
      <c r="C3" s="15" t="s">
        <v>28</v>
      </c>
    </row>
    <row r="4" spans="1:3" x14ac:dyDescent="0.3">
      <c r="A4">
        <v>3</v>
      </c>
      <c r="B4" s="3" t="s">
        <v>0</v>
      </c>
      <c r="C4" s="15" t="s">
        <v>28</v>
      </c>
    </row>
    <row r="5" spans="1:3" x14ac:dyDescent="0.3">
      <c r="A5">
        <v>4</v>
      </c>
      <c r="B5" s="3" t="s">
        <v>0</v>
      </c>
      <c r="C5" s="15" t="s">
        <v>28</v>
      </c>
    </row>
    <row r="6" spans="1:3" x14ac:dyDescent="0.3">
      <c r="A6">
        <v>5</v>
      </c>
      <c r="B6" s="3" t="s">
        <v>0</v>
      </c>
      <c r="C6" s="15" t="s">
        <v>28</v>
      </c>
    </row>
    <row r="7" spans="1:3" x14ac:dyDescent="0.3">
      <c r="A7">
        <v>6</v>
      </c>
      <c r="B7" s="3" t="s">
        <v>0</v>
      </c>
      <c r="C7" s="15" t="s">
        <v>28</v>
      </c>
    </row>
    <row r="8" spans="1:3" x14ac:dyDescent="0.3">
      <c r="A8">
        <v>7</v>
      </c>
      <c r="B8" s="3" t="s">
        <v>1</v>
      </c>
      <c r="C8" s="15" t="s">
        <v>29</v>
      </c>
    </row>
    <row r="9" spans="1:3" x14ac:dyDescent="0.3">
      <c r="A9">
        <v>8</v>
      </c>
      <c r="B9" s="3" t="s">
        <v>1</v>
      </c>
      <c r="C9" s="15" t="s">
        <v>29</v>
      </c>
    </row>
    <row r="10" spans="1:3" x14ac:dyDescent="0.3">
      <c r="A10">
        <v>9</v>
      </c>
      <c r="B10" s="3" t="s">
        <v>1</v>
      </c>
      <c r="C10" s="15" t="s">
        <v>29</v>
      </c>
    </row>
    <row r="11" spans="1:3" x14ac:dyDescent="0.3">
      <c r="A11">
        <v>10</v>
      </c>
      <c r="B11" s="3" t="s">
        <v>1</v>
      </c>
      <c r="C11" s="15" t="s">
        <v>29</v>
      </c>
    </row>
    <row r="12" spans="1:3" x14ac:dyDescent="0.3">
      <c r="A12">
        <v>11</v>
      </c>
      <c r="B12" s="3" t="s">
        <v>1</v>
      </c>
      <c r="C12" s="15" t="s">
        <v>29</v>
      </c>
    </row>
    <row r="13" spans="1:3" x14ac:dyDescent="0.3">
      <c r="A13">
        <v>12</v>
      </c>
      <c r="B13" s="3" t="s">
        <v>0</v>
      </c>
      <c r="C13" s="15" t="s">
        <v>28</v>
      </c>
    </row>
    <row r="14" spans="1:3" x14ac:dyDescent="0.3">
      <c r="A14">
        <v>13</v>
      </c>
      <c r="B14" s="3" t="s">
        <v>0</v>
      </c>
      <c r="C14" s="15" t="s">
        <v>28</v>
      </c>
    </row>
    <row r="15" spans="1:3" x14ac:dyDescent="0.3">
      <c r="A15">
        <v>14</v>
      </c>
      <c r="B15" s="3" t="s">
        <v>0</v>
      </c>
      <c r="C15" s="15" t="s">
        <v>28</v>
      </c>
    </row>
    <row r="16" spans="1:3" x14ac:dyDescent="0.3">
      <c r="A16">
        <v>15</v>
      </c>
      <c r="B16" s="3" t="s">
        <v>0</v>
      </c>
      <c r="C16" s="15" t="s">
        <v>28</v>
      </c>
    </row>
    <row r="17" spans="2:2" x14ac:dyDescent="0.3"/>
    <row r="22" spans="2:2" hidden="1" x14ac:dyDescent="0.3">
      <c r="B22" s="4"/>
    </row>
    <row r="96" spans="2:2" hidden="1" x14ac:dyDescent="0.3">
      <c r="B96" s="3"/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CDF5A-AADA-439E-A9A8-C941974C8C56}">
  <dimension ref="A1:C22"/>
  <sheetViews>
    <sheetView topLeftCell="A2" zoomScale="130" zoomScaleNormal="130" workbookViewId="0">
      <selection activeCell="A17" sqref="A17:XFD1048576"/>
    </sheetView>
  </sheetViews>
  <sheetFormatPr defaultColWidth="0" defaultRowHeight="14.4" zeroHeight="1" x14ac:dyDescent="0.3"/>
  <cols>
    <col min="1" max="1" width="8.796875" customWidth="1"/>
    <col min="2" max="2" width="145.5" customWidth="1"/>
    <col min="3" max="3" width="15.5" bestFit="1" customWidth="1"/>
    <col min="4" max="16384" width="8.796875" hidden="1"/>
  </cols>
  <sheetData>
    <row r="1" spans="1:3" x14ac:dyDescent="0.3">
      <c r="A1" s="1" t="s">
        <v>2</v>
      </c>
      <c r="B1" s="1" t="s">
        <v>3</v>
      </c>
      <c r="C1" s="1" t="s">
        <v>27</v>
      </c>
    </row>
    <row r="2" spans="1:3" x14ac:dyDescent="0.3">
      <c r="A2" s="3">
        <v>1</v>
      </c>
      <c r="B2" s="2" t="s">
        <v>1</v>
      </c>
      <c r="C2" s="15" t="s">
        <v>29</v>
      </c>
    </row>
    <row r="3" spans="1:3" x14ac:dyDescent="0.3">
      <c r="A3" s="3">
        <v>2</v>
      </c>
      <c r="B3" s="2" t="s">
        <v>0</v>
      </c>
      <c r="C3" s="15" t="s">
        <v>28</v>
      </c>
    </row>
    <row r="4" spans="1:3" x14ac:dyDescent="0.3">
      <c r="A4" s="3">
        <v>3</v>
      </c>
      <c r="B4" s="2" t="s">
        <v>0</v>
      </c>
      <c r="C4" s="15" t="s">
        <v>28</v>
      </c>
    </row>
    <row r="5" spans="1:3" x14ac:dyDescent="0.3">
      <c r="A5" s="3">
        <v>4</v>
      </c>
      <c r="B5" s="2" t="s">
        <v>0</v>
      </c>
      <c r="C5" s="15" t="s">
        <v>28</v>
      </c>
    </row>
    <row r="6" spans="1:3" x14ac:dyDescent="0.3">
      <c r="A6" s="3">
        <v>5</v>
      </c>
      <c r="B6" s="2" t="s">
        <v>0</v>
      </c>
      <c r="C6" s="15" t="s">
        <v>29</v>
      </c>
    </row>
    <row r="7" spans="1:3" s="8" customFormat="1" x14ac:dyDescent="0.3">
      <c r="A7" s="3">
        <v>6</v>
      </c>
      <c r="B7" s="2" t="s">
        <v>0</v>
      </c>
      <c r="C7" s="15" t="s">
        <v>29</v>
      </c>
    </row>
    <row r="8" spans="1:3" x14ac:dyDescent="0.3">
      <c r="A8" s="3">
        <v>7</v>
      </c>
      <c r="B8" s="2" t="s">
        <v>1</v>
      </c>
      <c r="C8" s="15" t="s">
        <v>29</v>
      </c>
    </row>
    <row r="9" spans="1:3" x14ac:dyDescent="0.3">
      <c r="A9" s="3">
        <v>8</v>
      </c>
      <c r="B9" s="2" t="s">
        <v>1</v>
      </c>
      <c r="C9" s="15" t="s">
        <v>29</v>
      </c>
    </row>
    <row r="10" spans="1:3" x14ac:dyDescent="0.3">
      <c r="A10" s="3">
        <v>9</v>
      </c>
      <c r="B10" s="2" t="s">
        <v>0</v>
      </c>
      <c r="C10" s="15" t="s">
        <v>28</v>
      </c>
    </row>
    <row r="11" spans="1:3" x14ac:dyDescent="0.3">
      <c r="A11" s="3">
        <v>10</v>
      </c>
      <c r="B11" s="2" t="s">
        <v>0</v>
      </c>
      <c r="C11" s="15" t="s">
        <v>28</v>
      </c>
    </row>
    <row r="12" spans="1:3" x14ac:dyDescent="0.3">
      <c r="A12" s="3">
        <v>11</v>
      </c>
      <c r="B12" s="2" t="s">
        <v>1</v>
      </c>
      <c r="C12" s="15" t="s">
        <v>29</v>
      </c>
    </row>
    <row r="13" spans="1:3" x14ac:dyDescent="0.3">
      <c r="A13" s="3">
        <v>12</v>
      </c>
      <c r="B13" s="2" t="s">
        <v>1</v>
      </c>
      <c r="C13" s="15" t="s">
        <v>29</v>
      </c>
    </row>
    <row r="14" spans="1:3" x14ac:dyDescent="0.3">
      <c r="A14" s="3">
        <v>13</v>
      </c>
      <c r="B14" s="2" t="s">
        <v>1</v>
      </c>
      <c r="C14" s="15" t="s">
        <v>29</v>
      </c>
    </row>
    <row r="15" spans="1:3" x14ac:dyDescent="0.3">
      <c r="A15" s="3">
        <v>14</v>
      </c>
      <c r="B15" s="2" t="s">
        <v>0</v>
      </c>
      <c r="C15" s="15" t="s">
        <v>29</v>
      </c>
    </row>
    <row r="16" spans="1:3" x14ac:dyDescent="0.3">
      <c r="A16" s="3">
        <v>15</v>
      </c>
      <c r="B16" s="2" t="s">
        <v>0</v>
      </c>
      <c r="C16" s="15" t="s">
        <v>29</v>
      </c>
    </row>
    <row r="22" spans="1:3" hidden="1" x14ac:dyDescent="0.3">
      <c r="A22" s="26"/>
      <c r="B22" s="26"/>
      <c r="C22" s="26"/>
    </row>
  </sheetData>
  <mergeCells count="1">
    <mergeCell ref="A22:C22"/>
  </mergeCells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A29F3-F279-4E75-8129-EEBC32C347F2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29</vt:i4>
      </vt:variant>
    </vt:vector>
  </HeadingPairs>
  <TitlesOfParts>
    <vt:vector size="29" baseType="lpstr">
      <vt:lpstr>Quadro Geral</vt:lpstr>
      <vt:lpstr>Elementos Visuais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 N1</vt:lpstr>
      <vt:lpstr>2018 N J</vt:lpstr>
      <vt:lpstr>2019 N1</vt:lpstr>
      <vt:lpstr>2019 N J</vt:lpstr>
      <vt:lpstr>2020 N1 A</vt:lpstr>
      <vt:lpstr>2020 N1 B</vt:lpstr>
      <vt:lpstr>2020 J A</vt:lpstr>
      <vt:lpstr>2020 J B</vt:lpstr>
      <vt:lpstr>2021 N1</vt:lpstr>
      <vt:lpstr>2021 NJ</vt:lpstr>
      <vt:lpstr>2022 N 1</vt:lpstr>
      <vt:lpstr>2022 N J</vt:lpstr>
      <vt:lpstr>2023 N1</vt:lpstr>
      <vt:lpstr>2023 NJ</vt:lpstr>
      <vt:lpstr>2024 N1</vt:lpstr>
      <vt:lpstr>2024 NJ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Lisieux Andrade</dc:creator>
  <cp:lastModifiedBy>Lisieux Andrade</cp:lastModifiedBy>
  <dcterms:created xsi:type="dcterms:W3CDTF">2025-10-22T18:03:47Z</dcterms:created>
  <dcterms:modified xsi:type="dcterms:W3CDTF">2025-11-25T14:29:18Z</dcterms:modified>
</cp:coreProperties>
</file>